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23C67B9-C5E0-4AB3-B4B5-8FFA0B60210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Технологии" sheetId="1" r:id="rId1"/>
    <sheet name="Китай 2026" sheetId="2" r:id="rId2"/>
    <sheet name="Ход 2026" sheetId="3" r:id="rId3"/>
    <sheet name="Китай 2027" sheetId="4" r:id="rId4"/>
    <sheet name="Ход 2027" sheetId="5" r:id="rId5"/>
    <sheet name="Китай 2028" sheetId="6" r:id="rId6"/>
    <sheet name="Ход 2028" sheetId="7" r:id="rId7"/>
    <sheet name="Китай 2029" sheetId="8" r:id="rId8"/>
    <sheet name="Ход 2029" sheetId="9" r:id="rId9"/>
    <sheet name="Китай 2030" sheetId="10" r:id="rId10"/>
    <sheet name="Ход 2030" sheetId="11" r:id="rId11"/>
    <sheet name="Китай 2031" sheetId="12" r:id="rId12"/>
    <sheet name="Ход 2031" sheetId="13" r:id="rId13"/>
    <sheet name="Китай 2032" sheetId="14" r:id="rId14"/>
    <sheet name="Ход 2032" sheetId="15" r:id="rId15"/>
    <sheet name="Китай 2033" sheetId="16" r:id="rId16"/>
    <sheet name="Ход 2033" sheetId="17" r:id="rId17"/>
    <sheet name="Китай 2034" sheetId="18" r:id="rId18"/>
    <sheet name="Ход 2034" sheetId="19" r:id="rId19"/>
    <sheet name="Китай 2035" sheetId="20" r:id="rId20"/>
    <sheet name="Ход 2035" sheetId="21" r:id="rId21"/>
    <sheet name="Китай 2036" sheetId="22" r:id="rId22"/>
    <sheet name="Ход 2036" sheetId="23" r:id="rId23"/>
    <sheet name="Китай 2037" sheetId="24" r:id="rId24"/>
    <sheet name="Ход 2037" sheetId="25" r:id="rId25"/>
    <sheet name="Китай 2038" sheetId="26" r:id="rId26"/>
    <sheet name="Ход 2038" sheetId="27" r:id="rId27"/>
    <sheet name="Китай 2039" sheetId="28" r:id="rId28"/>
    <sheet name="Ход 2039" sheetId="29" r:id="rId29"/>
    <sheet name="Китай 2040" sheetId="30" r:id="rId30"/>
    <sheet name="Ход 2040" sheetId="31" r:id="rId31"/>
    <sheet name="Китай конец 2040" sheetId="32" r:id="rId32"/>
    <sheet name="Эффекты технологий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0" i="33" l="1"/>
  <c r="J239" i="33"/>
  <c r="J238" i="33"/>
  <c r="J237" i="33"/>
  <c r="J236" i="33"/>
  <c r="J235" i="33"/>
  <c r="J234" i="33"/>
  <c r="J233" i="33"/>
  <c r="J232" i="33"/>
  <c r="J231" i="33"/>
  <c r="J230" i="33"/>
  <c r="J229" i="33"/>
  <c r="J228" i="33"/>
  <c r="J227" i="33"/>
  <c r="J226" i="33"/>
  <c r="J225" i="33"/>
  <c r="J224" i="33"/>
  <c r="J223" i="33"/>
  <c r="J222" i="33"/>
  <c r="J221" i="33"/>
  <c r="J220" i="33"/>
  <c r="J219" i="33"/>
  <c r="J218" i="33"/>
  <c r="J217" i="33"/>
  <c r="J216" i="33"/>
  <c r="J215" i="33"/>
  <c r="J214" i="33"/>
  <c r="J213" i="33"/>
  <c r="J212" i="33"/>
  <c r="J211" i="33"/>
  <c r="J210" i="33"/>
  <c r="J209" i="33"/>
  <c r="J208" i="33"/>
  <c r="J207" i="33"/>
  <c r="J206" i="33"/>
  <c r="J205" i="33"/>
  <c r="J204" i="33"/>
  <c r="J203" i="33"/>
  <c r="J202" i="33"/>
  <c r="J201" i="33"/>
  <c r="J200" i="33"/>
  <c r="J199" i="33"/>
  <c r="J198" i="33"/>
  <c r="J197" i="33"/>
  <c r="J196" i="33"/>
  <c r="J195" i="33"/>
  <c r="J194" i="33"/>
  <c r="J193" i="33"/>
  <c r="J192" i="33"/>
  <c r="J191" i="33"/>
  <c r="J190" i="33"/>
  <c r="J189" i="33"/>
  <c r="J188" i="33"/>
  <c r="J187" i="33"/>
  <c r="J186" i="33"/>
  <c r="J185" i="33"/>
  <c r="J184" i="33"/>
  <c r="J183" i="33"/>
  <c r="J182" i="33"/>
  <c r="J181" i="33"/>
  <c r="J180" i="33"/>
  <c r="J179" i="33"/>
  <c r="J178" i="33"/>
  <c r="J177" i="33"/>
  <c r="J176" i="33"/>
  <c r="J175" i="33"/>
  <c r="J174" i="33"/>
  <c r="J173" i="33"/>
  <c r="J172" i="33"/>
  <c r="J171" i="33"/>
  <c r="J170" i="33"/>
  <c r="J169" i="33"/>
  <c r="J168" i="33"/>
  <c r="J167" i="33"/>
  <c r="J166" i="33"/>
  <c r="J165" i="33"/>
  <c r="J164" i="33"/>
  <c r="J163" i="33"/>
  <c r="J162" i="33"/>
  <c r="J161" i="33"/>
  <c r="J160" i="33"/>
  <c r="J159" i="33"/>
  <c r="J158" i="33"/>
  <c r="J157" i="33"/>
  <c r="J156" i="33"/>
  <c r="J155" i="33"/>
  <c r="J154" i="33"/>
  <c r="J153" i="33"/>
  <c r="J152" i="33"/>
  <c r="J151" i="33"/>
  <c r="J150" i="33"/>
  <c r="J149" i="33"/>
  <c r="J148" i="33"/>
  <c r="J147" i="33"/>
  <c r="J146" i="33"/>
  <c r="J145" i="33"/>
  <c r="J144" i="33"/>
  <c r="J143" i="33"/>
  <c r="J142" i="33"/>
  <c r="J141" i="33"/>
  <c r="J140" i="33"/>
  <c r="J139" i="33"/>
  <c r="J138" i="33"/>
  <c r="J137" i="33"/>
  <c r="J136" i="33"/>
  <c r="J135" i="33"/>
  <c r="J134" i="33"/>
  <c r="J133" i="33"/>
  <c r="J132" i="33"/>
  <c r="J131" i="33"/>
  <c r="J130" i="33"/>
  <c r="J129" i="33"/>
  <c r="J128" i="33"/>
  <c r="J127" i="33"/>
  <c r="J126" i="33"/>
  <c r="J125" i="33"/>
  <c r="J124" i="33"/>
  <c r="J123" i="33"/>
  <c r="J122" i="33"/>
  <c r="J121" i="33"/>
  <c r="J120" i="33"/>
  <c r="J119" i="33"/>
  <c r="J118" i="33"/>
  <c r="J117" i="33"/>
  <c r="J116" i="33"/>
  <c r="J115" i="33"/>
  <c r="J114" i="33"/>
  <c r="J113" i="33"/>
  <c r="J112" i="33"/>
  <c r="J111" i="33"/>
  <c r="J110" i="33"/>
  <c r="J109" i="33"/>
  <c r="J108" i="33"/>
  <c r="J107" i="33"/>
  <c r="J106" i="33"/>
  <c r="J105" i="33"/>
  <c r="J104" i="33"/>
  <c r="J103" i="33"/>
  <c r="J102" i="33"/>
  <c r="J101" i="33"/>
  <c r="J100" i="33"/>
  <c r="J99" i="33"/>
  <c r="J98" i="33"/>
  <c r="J97" i="33"/>
  <c r="J96" i="33"/>
  <c r="J95" i="33"/>
  <c r="J94" i="33"/>
  <c r="J93" i="33"/>
  <c r="J92" i="33"/>
  <c r="J91" i="33"/>
  <c r="J90" i="33"/>
  <c r="J89" i="33"/>
  <c r="J88" i="33"/>
  <c r="J87" i="33"/>
  <c r="J86" i="33"/>
  <c r="J85" i="33"/>
  <c r="J84" i="33"/>
  <c r="J83" i="33"/>
  <c r="J82" i="33"/>
  <c r="J81" i="33"/>
  <c r="J80" i="33"/>
  <c r="J79" i="33"/>
  <c r="J78" i="33"/>
  <c r="J77" i="33"/>
  <c r="J76" i="33"/>
  <c r="J75" i="33"/>
  <c r="J74" i="33"/>
  <c r="J73" i="33"/>
  <c r="J72" i="33"/>
  <c r="J71" i="33"/>
  <c r="J70" i="33"/>
  <c r="J69" i="33"/>
  <c r="J68" i="33"/>
  <c r="J67" i="33"/>
  <c r="J66" i="33"/>
  <c r="J65" i="33"/>
  <c r="J64" i="33"/>
  <c r="J63" i="33"/>
  <c r="J62" i="33"/>
  <c r="J61" i="33"/>
  <c r="J60" i="33"/>
  <c r="J59" i="33"/>
  <c r="J58" i="33"/>
  <c r="J57" i="33"/>
  <c r="J56" i="33"/>
  <c r="J55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55" i="32"/>
  <c r="J54" i="32"/>
  <c r="J53" i="32"/>
  <c r="J50" i="32"/>
  <c r="J47" i="32"/>
  <c r="J46" i="32"/>
  <c r="J44" i="32"/>
  <c r="J42" i="32"/>
  <c r="J41" i="32"/>
  <c r="J35" i="32"/>
  <c r="J25" i="32"/>
  <c r="J20" i="32"/>
  <c r="T18" i="32"/>
  <c r="J17" i="32"/>
  <c r="T16" i="32"/>
  <c r="T15" i="32"/>
  <c r="T14" i="32"/>
  <c r="K38" i="31"/>
  <c r="H38" i="31"/>
  <c r="K37" i="31"/>
  <c r="H37" i="31"/>
  <c r="K36" i="31"/>
  <c r="H36" i="31"/>
  <c r="K35" i="31"/>
  <c r="H35" i="31"/>
  <c r="K34" i="31"/>
  <c r="H34" i="31"/>
  <c r="K33" i="31"/>
  <c r="H33" i="31"/>
  <c r="K32" i="31"/>
  <c r="H32" i="31"/>
  <c r="K31" i="31"/>
  <c r="H31" i="31"/>
  <c r="K30" i="31"/>
  <c r="H30" i="31"/>
  <c r="Q29" i="31"/>
  <c r="P29" i="31"/>
  <c r="O29" i="31"/>
  <c r="K29" i="31"/>
  <c r="H29" i="31"/>
  <c r="U28" i="31"/>
  <c r="S28" i="31"/>
  <c r="U27" i="31"/>
  <c r="S27" i="31"/>
  <c r="U26" i="31"/>
  <c r="S26" i="31"/>
  <c r="U25" i="31"/>
  <c r="S25" i="31"/>
  <c r="U24" i="31"/>
  <c r="S24" i="31"/>
  <c r="J24" i="31"/>
  <c r="U23" i="31"/>
  <c r="S23" i="31"/>
  <c r="U22" i="31"/>
  <c r="S22" i="31"/>
  <c r="U21" i="31"/>
  <c r="S21" i="31"/>
  <c r="U20" i="31"/>
  <c r="S20" i="31"/>
  <c r="U19" i="31"/>
  <c r="S19" i="31"/>
  <c r="U18" i="31"/>
  <c r="S18" i="31"/>
  <c r="U17" i="31"/>
  <c r="S17" i="31"/>
  <c r="U16" i="31"/>
  <c r="S16" i="31"/>
  <c r="U15" i="31"/>
  <c r="S15" i="31"/>
  <c r="U14" i="31"/>
  <c r="S14" i="31"/>
  <c r="U13" i="31"/>
  <c r="S13" i="31"/>
  <c r="N7" i="31"/>
  <c r="J7" i="31"/>
  <c r="F7" i="31"/>
  <c r="B7" i="31"/>
  <c r="J55" i="30"/>
  <c r="J54" i="30"/>
  <c r="J53" i="30"/>
  <c r="J50" i="30"/>
  <c r="J47" i="30"/>
  <c r="J46" i="30"/>
  <c r="J44" i="30"/>
  <c r="J42" i="30"/>
  <c r="J41" i="30"/>
  <c r="J35" i="30"/>
  <c r="J25" i="30"/>
  <c r="J20" i="30"/>
  <c r="T18" i="30"/>
  <c r="J17" i="30"/>
  <c r="T16" i="30"/>
  <c r="T15" i="30"/>
  <c r="T14" i="30"/>
  <c r="K38" i="29"/>
  <c r="H38" i="29"/>
  <c r="K37" i="29"/>
  <c r="H37" i="29"/>
  <c r="K36" i="29"/>
  <c r="H36" i="29"/>
  <c r="K35" i="29"/>
  <c r="H35" i="29"/>
  <c r="K34" i="29"/>
  <c r="H34" i="29"/>
  <c r="K33" i="29"/>
  <c r="H33" i="29"/>
  <c r="K32" i="29"/>
  <c r="H32" i="29"/>
  <c r="K31" i="29"/>
  <c r="H31" i="29"/>
  <c r="K30" i="29"/>
  <c r="H30" i="29"/>
  <c r="Q29" i="29"/>
  <c r="P29" i="29"/>
  <c r="O29" i="29"/>
  <c r="K29" i="29"/>
  <c r="H29" i="29"/>
  <c r="J24" i="29"/>
  <c r="N7" i="29"/>
  <c r="J7" i="29"/>
  <c r="F7" i="29"/>
  <c r="B7" i="29"/>
  <c r="J55" i="28"/>
  <c r="J54" i="28"/>
  <c r="J53" i="28"/>
  <c r="J50" i="28"/>
  <c r="J47" i="28"/>
  <c r="J46" i="28"/>
  <c r="J44" i="28"/>
  <c r="J42" i="28"/>
  <c r="J41" i="28"/>
  <c r="J35" i="28"/>
  <c r="J25" i="28"/>
  <c r="J20" i="28"/>
  <c r="T18" i="28"/>
  <c r="J17" i="28"/>
  <c r="T16" i="28"/>
  <c r="T15" i="28"/>
  <c r="T14" i="28"/>
  <c r="K38" i="27"/>
  <c r="H38" i="27"/>
  <c r="K37" i="27"/>
  <c r="H37" i="27"/>
  <c r="K36" i="27"/>
  <c r="H36" i="27"/>
  <c r="K35" i="27"/>
  <c r="H35" i="27"/>
  <c r="K34" i="27"/>
  <c r="H34" i="27"/>
  <c r="K33" i="27"/>
  <c r="H33" i="27"/>
  <c r="K32" i="27"/>
  <c r="H32" i="27"/>
  <c r="K31" i="27"/>
  <c r="H31" i="27"/>
  <c r="K30" i="27"/>
  <c r="H30" i="27"/>
  <c r="Q29" i="27"/>
  <c r="P29" i="27"/>
  <c r="O29" i="27"/>
  <c r="K29" i="27"/>
  <c r="H29" i="27"/>
  <c r="J24" i="27"/>
  <c r="N7" i="27" s="1"/>
  <c r="J7" i="27"/>
  <c r="F7" i="27"/>
  <c r="B7" i="27"/>
  <c r="J55" i="26"/>
  <c r="J54" i="26"/>
  <c r="J53" i="26"/>
  <c r="J50" i="26"/>
  <c r="J47" i="26"/>
  <c r="J46" i="26"/>
  <c r="J44" i="26"/>
  <c r="J42" i="26"/>
  <c r="J41" i="26"/>
  <c r="J35" i="26"/>
  <c r="J25" i="26"/>
  <c r="J20" i="26"/>
  <c r="T18" i="26"/>
  <c r="J17" i="26"/>
  <c r="T16" i="26"/>
  <c r="T15" i="26"/>
  <c r="T14" i="26"/>
  <c r="K38" i="25"/>
  <c r="H38" i="25"/>
  <c r="K37" i="25"/>
  <c r="H37" i="25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Q29" i="25"/>
  <c r="P29" i="25"/>
  <c r="O29" i="25"/>
  <c r="K29" i="25"/>
  <c r="H29" i="25"/>
  <c r="J24" i="25"/>
  <c r="N7" i="25"/>
  <c r="J7" i="25"/>
  <c r="F7" i="25"/>
  <c r="B7" i="25"/>
  <c r="J55" i="24"/>
  <c r="J54" i="24"/>
  <c r="J53" i="24"/>
  <c r="J50" i="24"/>
  <c r="J47" i="24"/>
  <c r="J46" i="24"/>
  <c r="J44" i="24"/>
  <c r="J42" i="24"/>
  <c r="J41" i="24"/>
  <c r="J35" i="24"/>
  <c r="J25" i="24"/>
  <c r="J20" i="24"/>
  <c r="T18" i="24"/>
  <c r="J17" i="24"/>
  <c r="T16" i="24"/>
  <c r="T15" i="24"/>
  <c r="T14" i="24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31" i="23"/>
  <c r="H31" i="23"/>
  <c r="K30" i="23"/>
  <c r="H30" i="23"/>
  <c r="Q29" i="23"/>
  <c r="P29" i="23"/>
  <c r="O29" i="23"/>
  <c r="K29" i="23"/>
  <c r="H29" i="23"/>
  <c r="J24" i="23"/>
  <c r="N7" i="23" s="1"/>
  <c r="J7" i="23"/>
  <c r="F7" i="23"/>
  <c r="B7" i="23"/>
  <c r="J55" i="22"/>
  <c r="J54" i="22"/>
  <c r="J53" i="22"/>
  <c r="J50" i="22"/>
  <c r="J47" i="22"/>
  <c r="J46" i="22"/>
  <c r="J44" i="22"/>
  <c r="J42" i="22"/>
  <c r="J41" i="22"/>
  <c r="J35" i="22"/>
  <c r="J25" i="22"/>
  <c r="J20" i="22"/>
  <c r="T18" i="22"/>
  <c r="J17" i="22"/>
  <c r="T16" i="22"/>
  <c r="T15" i="22"/>
  <c r="T14" i="22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Q29" i="21"/>
  <c r="P29" i="21"/>
  <c r="O29" i="21"/>
  <c r="K29" i="21"/>
  <c r="H29" i="21"/>
  <c r="J24" i="21"/>
  <c r="N7" i="21"/>
  <c r="J7" i="21"/>
  <c r="F7" i="21"/>
  <c r="B7" i="21"/>
  <c r="J55" i="20"/>
  <c r="J54" i="20"/>
  <c r="J53" i="20"/>
  <c r="J50" i="20"/>
  <c r="J47" i="20"/>
  <c r="J46" i="20"/>
  <c r="J44" i="20"/>
  <c r="J42" i="20"/>
  <c r="J41" i="20"/>
  <c r="J35" i="20"/>
  <c r="J25" i="20"/>
  <c r="J20" i="20"/>
  <c r="T18" i="20"/>
  <c r="J17" i="20"/>
  <c r="T16" i="20"/>
  <c r="T15" i="20"/>
  <c r="T14" i="20"/>
  <c r="K38" i="19"/>
  <c r="H38" i="19"/>
  <c r="K37" i="19"/>
  <c r="H37" i="19"/>
  <c r="K36" i="19"/>
  <c r="H36" i="19"/>
  <c r="K35" i="19"/>
  <c r="H35" i="19"/>
  <c r="K34" i="19"/>
  <c r="H34" i="19"/>
  <c r="K33" i="19"/>
  <c r="H33" i="19"/>
  <c r="K32" i="19"/>
  <c r="H32" i="19"/>
  <c r="K31" i="19"/>
  <c r="H31" i="19"/>
  <c r="K30" i="19"/>
  <c r="H30" i="19"/>
  <c r="Q29" i="19"/>
  <c r="P29" i="19"/>
  <c r="O29" i="19"/>
  <c r="K29" i="19"/>
  <c r="H29" i="19"/>
  <c r="J24" i="19"/>
  <c r="N7" i="19" s="1"/>
  <c r="J7" i="19"/>
  <c r="F7" i="19"/>
  <c r="B7" i="19"/>
  <c r="J55" i="18"/>
  <c r="J54" i="18"/>
  <c r="J53" i="18"/>
  <c r="J50" i="18"/>
  <c r="J47" i="18"/>
  <c r="J46" i="18"/>
  <c r="J44" i="18"/>
  <c r="J42" i="18"/>
  <c r="J41" i="18"/>
  <c r="J35" i="18"/>
  <c r="J25" i="18"/>
  <c r="J20" i="18"/>
  <c r="T18" i="18"/>
  <c r="J17" i="18"/>
  <c r="T16" i="18"/>
  <c r="T15" i="18"/>
  <c r="T14" i="18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Q29" i="17"/>
  <c r="P29" i="17"/>
  <c r="O29" i="17"/>
  <c r="K29" i="17"/>
  <c r="H29" i="17"/>
  <c r="J24" i="17"/>
  <c r="N7" i="17" s="1"/>
  <c r="J7" i="17"/>
  <c r="F7" i="17"/>
  <c r="B7" i="17"/>
  <c r="J55" i="16"/>
  <c r="J54" i="16"/>
  <c r="J53" i="16"/>
  <c r="J50" i="16"/>
  <c r="J47" i="16"/>
  <c r="J46" i="16"/>
  <c r="J44" i="16"/>
  <c r="J42" i="16"/>
  <c r="J41" i="16"/>
  <c r="J35" i="16"/>
  <c r="J25" i="16"/>
  <c r="J20" i="16"/>
  <c r="T18" i="16"/>
  <c r="J17" i="16"/>
  <c r="T16" i="16"/>
  <c r="T15" i="16"/>
  <c r="T14" i="16"/>
  <c r="K38" i="15"/>
  <c r="H38" i="15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Q29" i="15"/>
  <c r="P29" i="15"/>
  <c r="O29" i="15"/>
  <c r="K29" i="15"/>
  <c r="H29" i="15"/>
  <c r="J24" i="15"/>
  <c r="N7" i="15" s="1"/>
  <c r="J7" i="15"/>
  <c r="F7" i="15"/>
  <c r="B7" i="15"/>
  <c r="J55" i="14"/>
  <c r="J54" i="14"/>
  <c r="J53" i="14"/>
  <c r="J50" i="14"/>
  <c r="J47" i="14"/>
  <c r="J46" i="14"/>
  <c r="J44" i="14"/>
  <c r="J42" i="14"/>
  <c r="J41" i="14"/>
  <c r="J35" i="14"/>
  <c r="J25" i="14"/>
  <c r="J20" i="14"/>
  <c r="T18" i="14"/>
  <c r="J17" i="14"/>
  <c r="T16" i="14"/>
  <c r="T15" i="14"/>
  <c r="T14" i="14"/>
  <c r="K38" i="13"/>
  <c r="H38" i="13"/>
  <c r="K37" i="13"/>
  <c r="H37" i="13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Q29" i="13"/>
  <c r="P29" i="13"/>
  <c r="O29" i="13"/>
  <c r="K29" i="13"/>
  <c r="H29" i="13"/>
  <c r="J24" i="13"/>
  <c r="N7" i="13"/>
  <c r="J7" i="13"/>
  <c r="F7" i="13"/>
  <c r="B7" i="13"/>
  <c r="J55" i="12"/>
  <c r="J54" i="12"/>
  <c r="J53" i="12"/>
  <c r="J50" i="12"/>
  <c r="J47" i="12"/>
  <c r="J46" i="12"/>
  <c r="J44" i="12"/>
  <c r="J42" i="12"/>
  <c r="J41" i="12"/>
  <c r="J35" i="12"/>
  <c r="J25" i="12"/>
  <c r="J20" i="12"/>
  <c r="T18" i="12"/>
  <c r="J17" i="12"/>
  <c r="T16" i="12"/>
  <c r="T15" i="12"/>
  <c r="T14" i="12"/>
  <c r="K38" i="11"/>
  <c r="H38" i="11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Q29" i="11"/>
  <c r="P29" i="11"/>
  <c r="O29" i="11"/>
  <c r="K29" i="11"/>
  <c r="H29" i="11"/>
  <c r="J24" i="11"/>
  <c r="N7" i="11" s="1"/>
  <c r="J7" i="11"/>
  <c r="F7" i="11"/>
  <c r="B7" i="11"/>
  <c r="J55" i="10"/>
  <c r="J54" i="10"/>
  <c r="J53" i="10"/>
  <c r="J50" i="10"/>
  <c r="J47" i="10"/>
  <c r="J46" i="10"/>
  <c r="J44" i="10"/>
  <c r="J42" i="10"/>
  <c r="J41" i="10"/>
  <c r="J35" i="10"/>
  <c r="J25" i="10"/>
  <c r="J20" i="10"/>
  <c r="T18" i="10"/>
  <c r="J17" i="10"/>
  <c r="T16" i="10"/>
  <c r="T15" i="10"/>
  <c r="T14" i="10"/>
  <c r="K38" i="9"/>
  <c r="H38" i="9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Q29" i="9"/>
  <c r="P29" i="9"/>
  <c r="O29" i="9"/>
  <c r="K29" i="9"/>
  <c r="H29" i="9"/>
  <c r="J24" i="9"/>
  <c r="N7" i="9" s="1"/>
  <c r="J7" i="9"/>
  <c r="F7" i="9"/>
  <c r="B7" i="9"/>
  <c r="J55" i="8"/>
  <c r="J54" i="8"/>
  <c r="J53" i="8"/>
  <c r="J50" i="8"/>
  <c r="J47" i="8"/>
  <c r="J46" i="8"/>
  <c r="J44" i="8"/>
  <c r="J42" i="8"/>
  <c r="J41" i="8"/>
  <c r="J35" i="8"/>
  <c r="J25" i="8"/>
  <c r="J20" i="8"/>
  <c r="T18" i="8"/>
  <c r="J17" i="8"/>
  <c r="T16" i="8"/>
  <c r="T15" i="8"/>
  <c r="T14" i="8"/>
  <c r="K38" i="7"/>
  <c r="H38" i="7"/>
  <c r="K37" i="7"/>
  <c r="H37" i="7"/>
  <c r="K36" i="7"/>
  <c r="H36" i="7"/>
  <c r="K35" i="7"/>
  <c r="H35" i="7"/>
  <c r="K34" i="7"/>
  <c r="H34" i="7"/>
  <c r="K33" i="7"/>
  <c r="H33" i="7"/>
  <c r="K32" i="7"/>
  <c r="H32" i="7"/>
  <c r="K31" i="7"/>
  <c r="H31" i="7"/>
  <c r="K30" i="7"/>
  <c r="H30" i="7"/>
  <c r="Q29" i="7"/>
  <c r="P29" i="7"/>
  <c r="O29" i="7"/>
  <c r="K29" i="7"/>
  <c r="H29" i="7"/>
  <c r="J24" i="7"/>
  <c r="M21" i="7"/>
  <c r="M15" i="7"/>
  <c r="N7" i="7"/>
  <c r="J7" i="7"/>
  <c r="F7" i="7"/>
  <c r="B7" i="7"/>
  <c r="J55" i="6"/>
  <c r="J54" i="6"/>
  <c r="J53" i="6"/>
  <c r="J50" i="6"/>
  <c r="J47" i="6"/>
  <c r="J46" i="6"/>
  <c r="J44" i="6"/>
  <c r="J42" i="6"/>
  <c r="J41" i="6"/>
  <c r="J35" i="6"/>
  <c r="V26" i="6"/>
  <c r="M28" i="7" s="1"/>
  <c r="V25" i="6"/>
  <c r="W25" i="6" s="1"/>
  <c r="J25" i="6"/>
  <c r="V24" i="6"/>
  <c r="W24" i="6" s="1"/>
  <c r="V23" i="6"/>
  <c r="V22" i="6"/>
  <c r="V21" i="6"/>
  <c r="V20" i="6"/>
  <c r="J20" i="6"/>
  <c r="V19" i="6"/>
  <c r="V18" i="6"/>
  <c r="T18" i="6"/>
  <c r="V17" i="6"/>
  <c r="J17" i="6"/>
  <c r="V16" i="6"/>
  <c r="M18" i="7" s="1"/>
  <c r="T16" i="6"/>
  <c r="T15" i="6"/>
  <c r="V14" i="6"/>
  <c r="T14" i="6"/>
  <c r="V13" i="6"/>
  <c r="W13" i="6" s="1"/>
  <c r="V11" i="6"/>
  <c r="K38" i="5"/>
  <c r="H38" i="5"/>
  <c r="K37" i="5"/>
  <c r="H37" i="5"/>
  <c r="K36" i="5"/>
  <c r="H36" i="5"/>
  <c r="K35" i="5"/>
  <c r="H35" i="5"/>
  <c r="K34" i="5"/>
  <c r="H34" i="5"/>
  <c r="K33" i="5"/>
  <c r="H33" i="5"/>
  <c r="K32" i="5"/>
  <c r="H32" i="5"/>
  <c r="K31" i="5"/>
  <c r="H31" i="5"/>
  <c r="K30" i="5"/>
  <c r="H30" i="5"/>
  <c r="Q29" i="5"/>
  <c r="P29" i="5"/>
  <c r="O29" i="5"/>
  <c r="K29" i="5"/>
  <c r="H29" i="5"/>
  <c r="M28" i="5"/>
  <c r="M25" i="5"/>
  <c r="M24" i="5"/>
  <c r="J24" i="5"/>
  <c r="N7" i="5" s="1"/>
  <c r="M23" i="5"/>
  <c r="M22" i="5"/>
  <c r="M20" i="5"/>
  <c r="M19" i="5"/>
  <c r="M18" i="5"/>
  <c r="M17" i="5"/>
  <c r="M14" i="5"/>
  <c r="M13" i="5"/>
  <c r="J7" i="5"/>
  <c r="F7" i="5"/>
  <c r="B7" i="5"/>
  <c r="J55" i="4"/>
  <c r="C55" i="4"/>
  <c r="C55" i="6" s="1"/>
  <c r="C55" i="8" s="1"/>
  <c r="C55" i="10" s="1"/>
  <c r="C55" i="12" s="1"/>
  <c r="C55" i="14" s="1"/>
  <c r="C55" i="16" s="1"/>
  <c r="C55" i="18" s="1"/>
  <c r="C55" i="20" s="1"/>
  <c r="C55" i="22" s="1"/>
  <c r="C55" i="24" s="1"/>
  <c r="C55" i="26" s="1"/>
  <c r="C55" i="28" s="1"/>
  <c r="C55" i="30" s="1"/>
  <c r="C55" i="32" s="1"/>
  <c r="J54" i="4"/>
  <c r="C54" i="4"/>
  <c r="C54" i="6" s="1"/>
  <c r="C54" i="8" s="1"/>
  <c r="C54" i="10" s="1"/>
  <c r="C54" i="12" s="1"/>
  <c r="C54" i="14" s="1"/>
  <c r="C54" i="16" s="1"/>
  <c r="C54" i="18" s="1"/>
  <c r="C54" i="20" s="1"/>
  <c r="C54" i="22" s="1"/>
  <c r="C54" i="24" s="1"/>
  <c r="C54" i="26" s="1"/>
  <c r="C54" i="28" s="1"/>
  <c r="C54" i="30" s="1"/>
  <c r="C54" i="32" s="1"/>
  <c r="J53" i="4"/>
  <c r="C53" i="4"/>
  <c r="C53" i="6" s="1"/>
  <c r="C53" i="8" s="1"/>
  <c r="C53" i="10" s="1"/>
  <c r="C53" i="12" s="1"/>
  <c r="C53" i="14" s="1"/>
  <c r="C53" i="16" s="1"/>
  <c r="C53" i="18" s="1"/>
  <c r="C53" i="20" s="1"/>
  <c r="C53" i="22" s="1"/>
  <c r="C53" i="24" s="1"/>
  <c r="C53" i="26" s="1"/>
  <c r="C53" i="28" s="1"/>
  <c r="C53" i="30" s="1"/>
  <c r="C53" i="32" s="1"/>
  <c r="C51" i="4"/>
  <c r="C51" i="6" s="1"/>
  <c r="C51" i="8" s="1"/>
  <c r="C51" i="10" s="1"/>
  <c r="C51" i="12" s="1"/>
  <c r="C51" i="14" s="1"/>
  <c r="C51" i="16" s="1"/>
  <c r="C51" i="18" s="1"/>
  <c r="C51" i="20" s="1"/>
  <c r="C51" i="22" s="1"/>
  <c r="C51" i="24" s="1"/>
  <c r="C51" i="26" s="1"/>
  <c r="C51" i="28" s="1"/>
  <c r="C51" i="30" s="1"/>
  <c r="C51" i="32" s="1"/>
  <c r="J50" i="4"/>
  <c r="C50" i="4"/>
  <c r="C50" i="6" s="1"/>
  <c r="C50" i="8" s="1"/>
  <c r="C50" i="10" s="1"/>
  <c r="C50" i="12" s="1"/>
  <c r="C50" i="14" s="1"/>
  <c r="C50" i="16" s="1"/>
  <c r="C50" i="18" s="1"/>
  <c r="C50" i="20" s="1"/>
  <c r="C50" i="22" s="1"/>
  <c r="C50" i="24" s="1"/>
  <c r="C50" i="26" s="1"/>
  <c r="C50" i="28" s="1"/>
  <c r="C50" i="30" s="1"/>
  <c r="C50" i="32" s="1"/>
  <c r="C49" i="4"/>
  <c r="C49" i="6" s="1"/>
  <c r="C49" i="8" s="1"/>
  <c r="C49" i="10" s="1"/>
  <c r="C49" i="12" s="1"/>
  <c r="C49" i="14" s="1"/>
  <c r="C49" i="16" s="1"/>
  <c r="C49" i="18" s="1"/>
  <c r="C49" i="20" s="1"/>
  <c r="C49" i="22" s="1"/>
  <c r="C49" i="24" s="1"/>
  <c r="C49" i="26" s="1"/>
  <c r="C49" i="28" s="1"/>
  <c r="C49" i="30" s="1"/>
  <c r="C49" i="32" s="1"/>
  <c r="J47" i="4"/>
  <c r="C47" i="4"/>
  <c r="C47" i="6" s="1"/>
  <c r="C47" i="8" s="1"/>
  <c r="C47" i="10" s="1"/>
  <c r="C47" i="12" s="1"/>
  <c r="C47" i="14" s="1"/>
  <c r="C47" i="16" s="1"/>
  <c r="C47" i="18" s="1"/>
  <c r="C47" i="20" s="1"/>
  <c r="C47" i="22" s="1"/>
  <c r="C47" i="24" s="1"/>
  <c r="C47" i="26" s="1"/>
  <c r="C47" i="28" s="1"/>
  <c r="C47" i="30" s="1"/>
  <c r="C47" i="32" s="1"/>
  <c r="J46" i="4"/>
  <c r="C46" i="4"/>
  <c r="C46" i="6" s="1"/>
  <c r="C46" i="8" s="1"/>
  <c r="C46" i="10" s="1"/>
  <c r="C46" i="12" s="1"/>
  <c r="C46" i="14" s="1"/>
  <c r="C46" i="16" s="1"/>
  <c r="C46" i="18" s="1"/>
  <c r="C46" i="20" s="1"/>
  <c r="C46" i="22" s="1"/>
  <c r="C46" i="24" s="1"/>
  <c r="C46" i="26" s="1"/>
  <c r="C46" i="28" s="1"/>
  <c r="C46" i="30" s="1"/>
  <c r="C46" i="32" s="1"/>
  <c r="C45" i="4"/>
  <c r="C45" i="6" s="1"/>
  <c r="C45" i="8" s="1"/>
  <c r="C45" i="10" s="1"/>
  <c r="C45" i="12" s="1"/>
  <c r="C45" i="14" s="1"/>
  <c r="C45" i="16" s="1"/>
  <c r="C45" i="18" s="1"/>
  <c r="C45" i="20" s="1"/>
  <c r="C45" i="22" s="1"/>
  <c r="C45" i="24" s="1"/>
  <c r="C45" i="26" s="1"/>
  <c r="C45" i="28" s="1"/>
  <c r="C45" i="30" s="1"/>
  <c r="C45" i="32" s="1"/>
  <c r="J44" i="4"/>
  <c r="C44" i="4"/>
  <c r="C44" i="6" s="1"/>
  <c r="C44" i="8" s="1"/>
  <c r="C44" i="10" s="1"/>
  <c r="C44" i="12" s="1"/>
  <c r="C44" i="14" s="1"/>
  <c r="C44" i="16" s="1"/>
  <c r="C44" i="18" s="1"/>
  <c r="C44" i="20" s="1"/>
  <c r="C44" i="22" s="1"/>
  <c r="C44" i="24" s="1"/>
  <c r="C44" i="26" s="1"/>
  <c r="C44" i="28" s="1"/>
  <c r="C44" i="30" s="1"/>
  <c r="C44" i="32" s="1"/>
  <c r="J42" i="4"/>
  <c r="C42" i="4"/>
  <c r="C42" i="6" s="1"/>
  <c r="C42" i="8" s="1"/>
  <c r="C42" i="10" s="1"/>
  <c r="C42" i="12" s="1"/>
  <c r="C42" i="14" s="1"/>
  <c r="C42" i="16" s="1"/>
  <c r="C42" i="18" s="1"/>
  <c r="C42" i="20" s="1"/>
  <c r="C42" i="22" s="1"/>
  <c r="C42" i="24" s="1"/>
  <c r="C42" i="26" s="1"/>
  <c r="C42" i="28" s="1"/>
  <c r="C42" i="30" s="1"/>
  <c r="C42" i="32" s="1"/>
  <c r="J41" i="4"/>
  <c r="C41" i="4"/>
  <c r="C41" i="6" s="1"/>
  <c r="C41" i="8" s="1"/>
  <c r="C41" i="10" s="1"/>
  <c r="C41" i="12" s="1"/>
  <c r="C41" i="14" s="1"/>
  <c r="C41" i="16" s="1"/>
  <c r="C41" i="18" s="1"/>
  <c r="C41" i="20" s="1"/>
  <c r="C41" i="22" s="1"/>
  <c r="C41" i="24" s="1"/>
  <c r="C41" i="26" s="1"/>
  <c r="C41" i="28" s="1"/>
  <c r="C41" i="30" s="1"/>
  <c r="C41" i="32" s="1"/>
  <c r="C40" i="4"/>
  <c r="C40" i="6" s="1"/>
  <c r="C40" i="8" s="1"/>
  <c r="C40" i="10" s="1"/>
  <c r="C40" i="12" s="1"/>
  <c r="C40" i="14" s="1"/>
  <c r="C40" i="16" s="1"/>
  <c r="C40" i="18" s="1"/>
  <c r="C40" i="20" s="1"/>
  <c r="C40" i="22" s="1"/>
  <c r="C40" i="24" s="1"/>
  <c r="C40" i="26" s="1"/>
  <c r="C40" i="28" s="1"/>
  <c r="C40" i="30" s="1"/>
  <c r="C40" i="32" s="1"/>
  <c r="C39" i="4"/>
  <c r="C39" i="6" s="1"/>
  <c r="C39" i="8" s="1"/>
  <c r="C39" i="10" s="1"/>
  <c r="C39" i="12" s="1"/>
  <c r="C39" i="14" s="1"/>
  <c r="C39" i="16" s="1"/>
  <c r="C39" i="18" s="1"/>
  <c r="C39" i="20" s="1"/>
  <c r="C39" i="22" s="1"/>
  <c r="C39" i="24" s="1"/>
  <c r="C39" i="26" s="1"/>
  <c r="C39" i="28" s="1"/>
  <c r="C39" i="30" s="1"/>
  <c r="C39" i="32" s="1"/>
  <c r="C37" i="4"/>
  <c r="C37" i="6" s="1"/>
  <c r="C37" i="8" s="1"/>
  <c r="C37" i="10" s="1"/>
  <c r="C37" i="12" s="1"/>
  <c r="C37" i="14" s="1"/>
  <c r="C37" i="16" s="1"/>
  <c r="C37" i="18" s="1"/>
  <c r="C37" i="20" s="1"/>
  <c r="C37" i="22" s="1"/>
  <c r="C37" i="24" s="1"/>
  <c r="C37" i="26" s="1"/>
  <c r="C37" i="28" s="1"/>
  <c r="C37" i="30" s="1"/>
  <c r="C37" i="32" s="1"/>
  <c r="C36" i="4"/>
  <c r="C36" i="6" s="1"/>
  <c r="C36" i="8" s="1"/>
  <c r="C36" i="10" s="1"/>
  <c r="C36" i="12" s="1"/>
  <c r="C36" i="14" s="1"/>
  <c r="C36" i="16" s="1"/>
  <c r="C36" i="18" s="1"/>
  <c r="C36" i="20" s="1"/>
  <c r="C36" i="22" s="1"/>
  <c r="C36" i="24" s="1"/>
  <c r="C36" i="26" s="1"/>
  <c r="C36" i="28" s="1"/>
  <c r="C36" i="30" s="1"/>
  <c r="C36" i="32" s="1"/>
  <c r="J35" i="4"/>
  <c r="C35" i="4"/>
  <c r="C35" i="6" s="1"/>
  <c r="C35" i="8" s="1"/>
  <c r="C35" i="10" s="1"/>
  <c r="C35" i="12" s="1"/>
  <c r="C35" i="14" s="1"/>
  <c r="C35" i="16" s="1"/>
  <c r="C35" i="18" s="1"/>
  <c r="C35" i="20" s="1"/>
  <c r="C35" i="22" s="1"/>
  <c r="C35" i="24" s="1"/>
  <c r="C35" i="26" s="1"/>
  <c r="C35" i="28" s="1"/>
  <c r="C35" i="30" s="1"/>
  <c r="C35" i="32" s="1"/>
  <c r="C34" i="4"/>
  <c r="C34" i="6" s="1"/>
  <c r="C34" i="8" s="1"/>
  <c r="C34" i="10" s="1"/>
  <c r="C34" i="12" s="1"/>
  <c r="C34" i="14" s="1"/>
  <c r="C34" i="16" s="1"/>
  <c r="C34" i="18" s="1"/>
  <c r="C34" i="20" s="1"/>
  <c r="C34" i="22" s="1"/>
  <c r="C34" i="24" s="1"/>
  <c r="C34" i="26" s="1"/>
  <c r="C34" i="28" s="1"/>
  <c r="C34" i="30" s="1"/>
  <c r="C34" i="32" s="1"/>
  <c r="C31" i="4"/>
  <c r="C31" i="6" s="1"/>
  <c r="C31" i="8" s="1"/>
  <c r="C31" i="10" s="1"/>
  <c r="C31" i="12" s="1"/>
  <c r="C31" i="14" s="1"/>
  <c r="C31" i="16" s="1"/>
  <c r="C31" i="18" s="1"/>
  <c r="C31" i="20" s="1"/>
  <c r="C31" i="22" s="1"/>
  <c r="C31" i="24" s="1"/>
  <c r="C31" i="26" s="1"/>
  <c r="C31" i="28" s="1"/>
  <c r="C31" i="30" s="1"/>
  <c r="C31" i="32" s="1"/>
  <c r="C30" i="4"/>
  <c r="C30" i="6" s="1"/>
  <c r="C30" i="8" s="1"/>
  <c r="C30" i="10" s="1"/>
  <c r="C30" i="12" s="1"/>
  <c r="C30" i="14" s="1"/>
  <c r="C30" i="16" s="1"/>
  <c r="C30" i="18" s="1"/>
  <c r="C30" i="20" s="1"/>
  <c r="C30" i="22" s="1"/>
  <c r="C30" i="24" s="1"/>
  <c r="C30" i="26" s="1"/>
  <c r="C30" i="28" s="1"/>
  <c r="C30" i="30" s="1"/>
  <c r="C30" i="32" s="1"/>
  <c r="W26" i="4"/>
  <c r="V26" i="4"/>
  <c r="W25" i="4"/>
  <c r="V25" i="4"/>
  <c r="M27" i="5" s="1"/>
  <c r="J25" i="4"/>
  <c r="W24" i="4"/>
  <c r="V24" i="4"/>
  <c r="M26" i="5" s="1"/>
  <c r="W23" i="4"/>
  <c r="V23" i="4"/>
  <c r="W22" i="4"/>
  <c r="V22" i="4"/>
  <c r="C22" i="4"/>
  <c r="C22" i="6" s="1"/>
  <c r="C22" i="8" s="1"/>
  <c r="C22" i="10" s="1"/>
  <c r="C22" i="12" s="1"/>
  <c r="C22" i="14" s="1"/>
  <c r="C22" i="16" s="1"/>
  <c r="C22" i="18" s="1"/>
  <c r="C22" i="20" s="1"/>
  <c r="C22" i="22" s="1"/>
  <c r="C22" i="24" s="1"/>
  <c r="C22" i="26" s="1"/>
  <c r="C22" i="28" s="1"/>
  <c r="C22" i="30" s="1"/>
  <c r="C22" i="32" s="1"/>
  <c r="W21" i="4"/>
  <c r="V21" i="4"/>
  <c r="C21" i="4"/>
  <c r="C21" i="6" s="1"/>
  <c r="C21" i="8" s="1"/>
  <c r="C21" i="10" s="1"/>
  <c r="C21" i="12" s="1"/>
  <c r="C21" i="14" s="1"/>
  <c r="C21" i="16" s="1"/>
  <c r="C21" i="18" s="1"/>
  <c r="C21" i="20" s="1"/>
  <c r="C21" i="22" s="1"/>
  <c r="C21" i="24" s="1"/>
  <c r="C21" i="26" s="1"/>
  <c r="C21" i="28" s="1"/>
  <c r="C21" i="30" s="1"/>
  <c r="C21" i="32" s="1"/>
  <c r="W20" i="4"/>
  <c r="V20" i="4"/>
  <c r="J20" i="4"/>
  <c r="C20" i="4"/>
  <c r="C20" i="6" s="1"/>
  <c r="C20" i="8" s="1"/>
  <c r="C20" i="10" s="1"/>
  <c r="C20" i="12" s="1"/>
  <c r="C20" i="14" s="1"/>
  <c r="C20" i="16" s="1"/>
  <c r="C20" i="18" s="1"/>
  <c r="C20" i="20" s="1"/>
  <c r="C20" i="22" s="1"/>
  <c r="C20" i="24" s="1"/>
  <c r="C20" i="26" s="1"/>
  <c r="C20" i="28" s="1"/>
  <c r="C20" i="30" s="1"/>
  <c r="C20" i="32" s="1"/>
  <c r="W19" i="4"/>
  <c r="V19" i="4"/>
  <c r="M21" i="5" s="1"/>
  <c r="C19" i="4"/>
  <c r="C19" i="6" s="1"/>
  <c r="C19" i="8" s="1"/>
  <c r="C19" i="10" s="1"/>
  <c r="C19" i="12" s="1"/>
  <c r="C19" i="14" s="1"/>
  <c r="C19" i="16" s="1"/>
  <c r="C19" i="18" s="1"/>
  <c r="C19" i="20" s="1"/>
  <c r="C19" i="22" s="1"/>
  <c r="C19" i="24" s="1"/>
  <c r="C19" i="26" s="1"/>
  <c r="C19" i="28" s="1"/>
  <c r="C19" i="30" s="1"/>
  <c r="C19" i="32" s="1"/>
  <c r="W18" i="4"/>
  <c r="V18" i="4"/>
  <c r="T18" i="4"/>
  <c r="L18" i="4"/>
  <c r="W17" i="4"/>
  <c r="V17" i="4"/>
  <c r="L17" i="4"/>
  <c r="J17" i="4"/>
  <c r="C17" i="4"/>
  <c r="W16" i="4"/>
  <c r="V16" i="4"/>
  <c r="T16" i="4"/>
  <c r="L16" i="4"/>
  <c r="C16" i="4"/>
  <c r="W15" i="4"/>
  <c r="V15" i="4"/>
  <c r="V15" i="6" s="1"/>
  <c r="T15" i="4"/>
  <c r="S15" i="4" s="1"/>
  <c r="L15" i="4"/>
  <c r="W14" i="4"/>
  <c r="V14" i="4"/>
  <c r="M16" i="5" s="1"/>
  <c r="T14" i="4"/>
  <c r="L14" i="4"/>
  <c r="C14" i="4"/>
  <c r="W13" i="4"/>
  <c r="V13" i="4"/>
  <c r="M15" i="5" s="1"/>
  <c r="L13" i="4"/>
  <c r="C13" i="4"/>
  <c r="W12" i="4"/>
  <c r="V12" i="4"/>
  <c r="V12" i="6" s="1"/>
  <c r="L12" i="4"/>
  <c r="C12" i="4"/>
  <c r="W11" i="4"/>
  <c r="V11" i="4"/>
  <c r="L11" i="4"/>
  <c r="C11" i="4"/>
  <c r="C10" i="4"/>
  <c r="C9" i="4"/>
  <c r="C8" i="4"/>
  <c r="H38" i="3"/>
  <c r="H37" i="3"/>
  <c r="H36" i="3"/>
  <c r="H35" i="3"/>
  <c r="H34" i="3"/>
  <c r="H33" i="3"/>
  <c r="H32" i="3"/>
  <c r="H31" i="3"/>
  <c r="Q30" i="3"/>
  <c r="P30" i="3"/>
  <c r="O30" i="3"/>
  <c r="H30" i="3"/>
  <c r="Q29" i="3"/>
  <c r="Q31" i="3" s="1"/>
  <c r="P29" i="3"/>
  <c r="O29" i="3"/>
  <c r="H29" i="3"/>
  <c r="M28" i="3"/>
  <c r="M27" i="3"/>
  <c r="M26" i="3"/>
  <c r="M25" i="3"/>
  <c r="I25" i="3"/>
  <c r="I26" i="3" s="1"/>
  <c r="H25" i="3"/>
  <c r="H26" i="3" s="1"/>
  <c r="G25" i="3"/>
  <c r="G26" i="3" s="1"/>
  <c r="M24" i="3"/>
  <c r="J24" i="3"/>
  <c r="N7" i="3" s="1"/>
  <c r="M23" i="3"/>
  <c r="M22" i="3"/>
  <c r="M21" i="3"/>
  <c r="M20" i="3"/>
  <c r="M19" i="3"/>
  <c r="M18" i="3"/>
  <c r="M17" i="3"/>
  <c r="M16" i="3"/>
  <c r="M15" i="3"/>
  <c r="M14" i="3"/>
  <c r="M13" i="3"/>
  <c r="J7" i="3"/>
  <c r="F7" i="3"/>
  <c r="B7" i="3"/>
  <c r="J55" i="2"/>
  <c r="I55" i="2"/>
  <c r="B55" i="4" s="1"/>
  <c r="J54" i="2"/>
  <c r="I54" i="2"/>
  <c r="B54" i="4" s="1"/>
  <c r="J53" i="2"/>
  <c r="I53" i="2"/>
  <c r="B53" i="4" s="1"/>
  <c r="J51" i="2"/>
  <c r="I51" i="2"/>
  <c r="B51" i="4" s="1"/>
  <c r="J50" i="2"/>
  <c r="I50" i="2"/>
  <c r="B50" i="4" s="1"/>
  <c r="J49" i="2"/>
  <c r="I49" i="2"/>
  <c r="B49" i="4" s="1"/>
  <c r="J48" i="2"/>
  <c r="I48" i="2"/>
  <c r="B48" i="4" s="1"/>
  <c r="J47" i="2"/>
  <c r="I47" i="2"/>
  <c r="B47" i="4" s="1"/>
  <c r="J46" i="2"/>
  <c r="I46" i="2"/>
  <c r="B46" i="4" s="1"/>
  <c r="J45" i="2"/>
  <c r="I45" i="2"/>
  <c r="B45" i="4" s="1"/>
  <c r="J44" i="2"/>
  <c r="I44" i="2"/>
  <c r="B44" i="4" s="1"/>
  <c r="J42" i="2"/>
  <c r="I42" i="2"/>
  <c r="B42" i="4" s="1"/>
  <c r="J41" i="2"/>
  <c r="I41" i="2"/>
  <c r="B41" i="4" s="1"/>
  <c r="J40" i="2"/>
  <c r="I40" i="2"/>
  <c r="B40" i="4" s="1"/>
  <c r="J39" i="2"/>
  <c r="I39" i="2"/>
  <c r="B39" i="4" s="1"/>
  <c r="J38" i="2"/>
  <c r="I38" i="2"/>
  <c r="B38" i="4" s="1"/>
  <c r="J37" i="2"/>
  <c r="I37" i="2"/>
  <c r="B37" i="4" s="1"/>
  <c r="J36" i="2"/>
  <c r="I36" i="2"/>
  <c r="B36" i="4" s="1"/>
  <c r="J35" i="2"/>
  <c r="I35" i="2"/>
  <c r="B35" i="4" s="1"/>
  <c r="J34" i="2"/>
  <c r="I34" i="2"/>
  <c r="B34" i="4" s="1"/>
  <c r="J32" i="2"/>
  <c r="I32" i="2"/>
  <c r="B32" i="4" s="1"/>
  <c r="J31" i="2"/>
  <c r="I31" i="2"/>
  <c r="B31" i="4" s="1"/>
  <c r="J30" i="2"/>
  <c r="I30" i="2"/>
  <c r="B30" i="4" s="1"/>
  <c r="J29" i="2"/>
  <c r="I29" i="2"/>
  <c r="B29" i="4" s="1"/>
  <c r="J28" i="2"/>
  <c r="I28" i="2"/>
  <c r="B28" i="4" s="1"/>
  <c r="J27" i="2"/>
  <c r="I27" i="2"/>
  <c r="B27" i="4" s="1"/>
  <c r="W26" i="2"/>
  <c r="J26" i="2"/>
  <c r="I26" i="2" s="1"/>
  <c r="B26" i="4" s="1"/>
  <c r="W25" i="2"/>
  <c r="J25" i="2"/>
  <c r="I25" i="2"/>
  <c r="B25" i="4" s="1"/>
  <c r="W24" i="2"/>
  <c r="W23" i="2"/>
  <c r="J23" i="2"/>
  <c r="I23" i="2"/>
  <c r="B23" i="4" s="1"/>
  <c r="W22" i="2"/>
  <c r="J22" i="2"/>
  <c r="I22" i="2" s="1"/>
  <c r="B22" i="4" s="1"/>
  <c r="W21" i="2"/>
  <c r="J21" i="2"/>
  <c r="I21" i="2"/>
  <c r="B21" i="4" s="1"/>
  <c r="W20" i="2"/>
  <c r="J20" i="2"/>
  <c r="I20" i="2" s="1"/>
  <c r="B20" i="4" s="1"/>
  <c r="W19" i="2"/>
  <c r="J19" i="2"/>
  <c r="I19" i="2"/>
  <c r="B19" i="4" s="1"/>
  <c r="W18" i="2"/>
  <c r="T18" i="2"/>
  <c r="S18" i="2" s="1"/>
  <c r="W17" i="2"/>
  <c r="T17" i="2"/>
  <c r="S17" i="2"/>
  <c r="J17" i="2"/>
  <c r="I17" i="2" s="1"/>
  <c r="B17" i="4" s="1"/>
  <c r="W16" i="2"/>
  <c r="T16" i="2"/>
  <c r="S16" i="2" s="1"/>
  <c r="J16" i="2"/>
  <c r="I16" i="2" s="1"/>
  <c r="B16" i="4" s="1"/>
  <c r="W15" i="2"/>
  <c r="T15" i="2"/>
  <c r="S15" i="2" s="1"/>
  <c r="J15" i="2"/>
  <c r="I15" i="2"/>
  <c r="B15" i="4" s="1"/>
  <c r="W14" i="2"/>
  <c r="T14" i="2"/>
  <c r="S14" i="2"/>
  <c r="M14" i="4" s="1"/>
  <c r="J14" i="2"/>
  <c r="I14" i="2" s="1"/>
  <c r="B14" i="4" s="1"/>
  <c r="W13" i="2"/>
  <c r="T13" i="2"/>
  <c r="S13" i="2"/>
  <c r="J13" i="2"/>
  <c r="I13" i="2"/>
  <c r="B13" i="4" s="1"/>
  <c r="W12" i="2"/>
  <c r="T12" i="2"/>
  <c r="S12" i="2"/>
  <c r="J12" i="2"/>
  <c r="I12" i="2" s="1"/>
  <c r="B12" i="4" s="1"/>
  <c r="W11" i="2"/>
  <c r="T11" i="2"/>
  <c r="S11" i="2"/>
  <c r="J11" i="2"/>
  <c r="I11" i="2"/>
  <c r="B11" i="4" s="1"/>
  <c r="J10" i="2"/>
  <c r="I10" i="2"/>
  <c r="B10" i="4" s="1"/>
  <c r="J9" i="2"/>
  <c r="I9" i="2"/>
  <c r="B9" i="4" s="1"/>
  <c r="J8" i="2"/>
  <c r="I8" i="2"/>
  <c r="B8" i="4" s="1"/>
  <c r="K50" i="1"/>
  <c r="AC50" i="1" s="1"/>
  <c r="AR50" i="1" s="1"/>
  <c r="K49" i="1"/>
  <c r="AC49" i="1" s="1"/>
  <c r="AR49" i="1" s="1"/>
  <c r="K48" i="1"/>
  <c r="K47" i="1"/>
  <c r="K46" i="1"/>
  <c r="K45" i="1"/>
  <c r="AC45" i="1" s="1"/>
  <c r="AR45" i="1" s="1"/>
  <c r="K44" i="1"/>
  <c r="AC44" i="1" s="1"/>
  <c r="AR44" i="1" s="1"/>
  <c r="K32" i="3" s="1"/>
  <c r="K43" i="1"/>
  <c r="AC43" i="1" s="1"/>
  <c r="AR43" i="1" s="1"/>
  <c r="K42" i="1"/>
  <c r="AC42" i="1" s="1"/>
  <c r="AR42" i="1" s="1"/>
  <c r="K31" i="3" s="1"/>
  <c r="K41" i="1"/>
  <c r="AC41" i="1" s="1"/>
  <c r="AR41" i="1" s="1"/>
  <c r="K192" i="33" s="1"/>
  <c r="K40" i="1"/>
  <c r="AC40" i="1" s="1"/>
  <c r="AR40" i="1" s="1"/>
  <c r="K39" i="1"/>
  <c r="AC39" i="1" s="1"/>
  <c r="AR39" i="1" s="1"/>
  <c r="K38" i="1"/>
  <c r="AC38" i="1" s="1"/>
  <c r="AR38" i="1" s="1"/>
  <c r="K37" i="1"/>
  <c r="AC37" i="1" s="1"/>
  <c r="AR37" i="1" s="1"/>
  <c r="K30" i="3" s="1"/>
  <c r="K36" i="1"/>
  <c r="AC36" i="1" s="1"/>
  <c r="AR36" i="1" s="1"/>
  <c r="K35" i="1"/>
  <c r="AC35" i="1" s="1"/>
  <c r="AR35" i="1" s="1"/>
  <c r="K158" i="33" s="1"/>
  <c r="K34" i="1"/>
  <c r="AC34" i="1" s="1"/>
  <c r="AR34" i="1" s="1"/>
  <c r="K33" i="1"/>
  <c r="K32" i="1"/>
  <c r="K31" i="1"/>
  <c r="K30" i="1"/>
  <c r="K29" i="1"/>
  <c r="AC29" i="1" s="1"/>
  <c r="AR29" i="1" s="1"/>
  <c r="K28" i="1"/>
  <c r="K27" i="1"/>
  <c r="K26" i="1"/>
  <c r="K25" i="1"/>
  <c r="K24" i="1"/>
  <c r="K23" i="1"/>
  <c r="K22" i="1"/>
  <c r="K21" i="1"/>
  <c r="AC21" i="1" s="1"/>
  <c r="AR21" i="1" s="1"/>
  <c r="K20" i="1"/>
  <c r="K19" i="1"/>
  <c r="AC19" i="1" s="1"/>
  <c r="AR19" i="1" s="1"/>
  <c r="K18" i="1"/>
  <c r="AC18" i="1" s="1"/>
  <c r="AR18" i="1" s="1"/>
  <c r="K17" i="1"/>
  <c r="AC17" i="1" s="1"/>
  <c r="AR17" i="1" s="1"/>
  <c r="K57" i="33" s="1"/>
  <c r="K16" i="1"/>
  <c r="AC16" i="1" s="1"/>
  <c r="AR16" i="1" s="1"/>
  <c r="K15" i="1"/>
  <c r="AC15" i="1" s="1"/>
  <c r="AR15" i="1" s="1"/>
  <c r="K14" i="1"/>
  <c r="K13" i="1"/>
  <c r="K12" i="1"/>
  <c r="K11" i="1"/>
  <c r="P31" i="3" l="1"/>
  <c r="O31" i="3"/>
  <c r="J26" i="3"/>
  <c r="K80" i="33"/>
  <c r="K74" i="33"/>
  <c r="K76" i="33"/>
  <c r="K79" i="33"/>
  <c r="K73" i="33"/>
  <c r="K75" i="33"/>
  <c r="K77" i="33"/>
  <c r="K78" i="33"/>
  <c r="K72" i="33"/>
  <c r="K176" i="33"/>
  <c r="K178" i="33"/>
  <c r="K175" i="33"/>
  <c r="K179" i="33"/>
  <c r="K173" i="33"/>
  <c r="K180" i="33"/>
  <c r="K174" i="33"/>
  <c r="K177" i="33"/>
  <c r="K62" i="33"/>
  <c r="K64" i="33"/>
  <c r="K61" i="33"/>
  <c r="K63" i="33"/>
  <c r="AC48" i="1"/>
  <c r="AR48" i="1" s="1"/>
  <c r="K33" i="3" s="1"/>
  <c r="AC11" i="1"/>
  <c r="AR11" i="1" s="1"/>
  <c r="K35" i="3" s="1"/>
  <c r="AC30" i="1"/>
  <c r="AR30" i="1" s="1"/>
  <c r="K157" i="33"/>
  <c r="K151" i="33"/>
  <c r="K153" i="33"/>
  <c r="K156" i="33"/>
  <c r="K150" i="33"/>
  <c r="K154" i="33"/>
  <c r="K148" i="33"/>
  <c r="T12" i="4" s="1"/>
  <c r="S12" i="4" s="1"/>
  <c r="K152" i="33"/>
  <c r="K155" i="33"/>
  <c r="K149" i="33"/>
  <c r="K43" i="33"/>
  <c r="K42" i="33"/>
  <c r="K39" i="33"/>
  <c r="K44" i="33"/>
  <c r="K41" i="33"/>
  <c r="K40" i="33"/>
  <c r="K45" i="33"/>
  <c r="K46" i="33"/>
  <c r="K58" i="33"/>
  <c r="K60" i="33"/>
  <c r="K59" i="33"/>
  <c r="K169" i="33"/>
  <c r="K171" i="33"/>
  <c r="K168" i="33"/>
  <c r="K172" i="33"/>
  <c r="K170" i="33"/>
  <c r="K13" i="33" s="1"/>
  <c r="O30" i="5" s="1"/>
  <c r="O31" i="5" s="1"/>
  <c r="K167" i="33"/>
  <c r="M15" i="4" s="1"/>
  <c r="AC46" i="1"/>
  <c r="AR46" i="1" s="1"/>
  <c r="AC28" i="1"/>
  <c r="AR28" i="1" s="1"/>
  <c r="K159" i="33"/>
  <c r="K162" i="33"/>
  <c r="K160" i="33"/>
  <c r="K161" i="33"/>
  <c r="K188" i="33"/>
  <c r="K182" i="33"/>
  <c r="K190" i="33"/>
  <c r="K184" i="33"/>
  <c r="K187" i="33"/>
  <c r="K12" i="33" s="1"/>
  <c r="C8" i="6" s="1"/>
  <c r="K181" i="33"/>
  <c r="K189" i="33"/>
  <c r="K183" i="33"/>
  <c r="K191" i="33"/>
  <c r="K185" i="33"/>
  <c r="K186" i="33"/>
  <c r="K198" i="33"/>
  <c r="K199" i="33"/>
  <c r="K197" i="33"/>
  <c r="K196" i="33"/>
  <c r="K212" i="33"/>
  <c r="K213" i="33"/>
  <c r="K206" i="33"/>
  <c r="K211" i="33"/>
  <c r="K209" i="33"/>
  <c r="K210" i="33"/>
  <c r="K208" i="33"/>
  <c r="K207" i="33"/>
  <c r="AC47" i="1"/>
  <c r="AR47" i="1" s="1"/>
  <c r="U6" i="2"/>
  <c r="B6" i="3" s="1"/>
  <c r="B8" i="3" s="1"/>
  <c r="C8" i="3" s="1"/>
  <c r="L14" i="6"/>
  <c r="AC14" i="1"/>
  <c r="AR14" i="1" s="1"/>
  <c r="I17" i="4"/>
  <c r="K125" i="33"/>
  <c r="K55" i="33"/>
  <c r="K49" i="33"/>
  <c r="K54" i="33"/>
  <c r="K48" i="33"/>
  <c r="K56" i="33"/>
  <c r="K51" i="33"/>
  <c r="C15" i="4" s="1"/>
  <c r="K53" i="33"/>
  <c r="K52" i="33"/>
  <c r="K8" i="33" s="1"/>
  <c r="K50" i="33"/>
  <c r="K47" i="33"/>
  <c r="AC20" i="1"/>
  <c r="AR20" i="1" s="1"/>
  <c r="K163" i="33"/>
  <c r="K165" i="33"/>
  <c r="K166" i="33"/>
  <c r="K164" i="33"/>
  <c r="K194" i="33"/>
  <c r="K193" i="33"/>
  <c r="K195" i="33"/>
  <c r="Q6" i="2"/>
  <c r="N6" i="3" s="1"/>
  <c r="N8" i="3" s="1"/>
  <c r="O8" i="3" s="1"/>
  <c r="AC12" i="1"/>
  <c r="AR12" i="1" s="1"/>
  <c r="AC22" i="1"/>
  <c r="AR22" i="1" s="1"/>
  <c r="AC23" i="1"/>
  <c r="AR23" i="1" s="1"/>
  <c r="AC24" i="1"/>
  <c r="AR24" i="1" s="1"/>
  <c r="K34" i="3" s="1"/>
  <c r="K6" i="2"/>
  <c r="F6" i="3" s="1"/>
  <c r="F8" i="3" s="1"/>
  <c r="G8" i="3" s="1"/>
  <c r="I42" i="4"/>
  <c r="B42" i="6" s="1"/>
  <c r="I46" i="4"/>
  <c r="B46" i="6" s="1"/>
  <c r="I53" i="4"/>
  <c r="B53" i="6" s="1"/>
  <c r="AC13" i="1"/>
  <c r="AR13" i="1" s="1"/>
  <c r="K36" i="3" s="1"/>
  <c r="AC31" i="1"/>
  <c r="AR31" i="1" s="1"/>
  <c r="AC32" i="1"/>
  <c r="AR32" i="1" s="1"/>
  <c r="K29" i="3" s="1"/>
  <c r="AC33" i="1"/>
  <c r="AR33" i="1" s="1"/>
  <c r="K238" i="33"/>
  <c r="K239" i="33"/>
  <c r="K240" i="33"/>
  <c r="K234" i="33"/>
  <c r="K235" i="33"/>
  <c r="K237" i="33"/>
  <c r="K19" i="33" s="1"/>
  <c r="K236" i="33"/>
  <c r="N6" i="2"/>
  <c r="J6" i="3" s="1"/>
  <c r="J8" i="3" s="1"/>
  <c r="K8" i="3" s="1"/>
  <c r="I25" i="4"/>
  <c r="I20" i="4"/>
  <c r="B20" i="6" s="1"/>
  <c r="I35" i="4"/>
  <c r="B35" i="6" s="1"/>
  <c r="I41" i="4"/>
  <c r="B41" i="6" s="1"/>
  <c r="I55" i="4"/>
  <c r="B55" i="6" s="1"/>
  <c r="K232" i="33"/>
  <c r="K233" i="33"/>
  <c r="K228" i="33"/>
  <c r="K229" i="33"/>
  <c r="K231" i="33"/>
  <c r="K230" i="33"/>
  <c r="AC25" i="1"/>
  <c r="AR25" i="1" s="1"/>
  <c r="K37" i="3" s="1"/>
  <c r="AC26" i="1"/>
  <c r="AR26" i="1" s="1"/>
  <c r="AC27" i="1"/>
  <c r="AR27" i="1" s="1"/>
  <c r="K38" i="3" s="1"/>
  <c r="K204" i="33"/>
  <c r="K205" i="33"/>
  <c r="K200" i="33"/>
  <c r="K203" i="33"/>
  <c r="K201" i="33"/>
  <c r="C32" i="4" s="1"/>
  <c r="K202" i="33"/>
  <c r="V12" i="8"/>
  <c r="M14" i="7"/>
  <c r="W12" i="6"/>
  <c r="M17" i="7"/>
  <c r="V15" i="8"/>
  <c r="W15" i="6"/>
  <c r="S18" i="4"/>
  <c r="M19" i="7"/>
  <c r="V17" i="8"/>
  <c r="W17" i="6"/>
  <c r="V21" i="8"/>
  <c r="M23" i="7"/>
  <c r="W21" i="6"/>
  <c r="M24" i="7"/>
  <c r="V22" i="8"/>
  <c r="W22" i="6"/>
  <c r="M13" i="7"/>
  <c r="V11" i="8"/>
  <c r="W11" i="6"/>
  <c r="V18" i="8"/>
  <c r="W18" i="6"/>
  <c r="M20" i="7"/>
  <c r="V23" i="8"/>
  <c r="M25" i="7"/>
  <c r="W23" i="6"/>
  <c r="V14" i="8"/>
  <c r="M16" i="7"/>
  <c r="W14" i="6"/>
  <c r="V19" i="8"/>
  <c r="W19" i="6"/>
  <c r="I44" i="4"/>
  <c r="B44" i="6" s="1"/>
  <c r="I47" i="4"/>
  <c r="B47" i="6" s="1"/>
  <c r="I50" i="4"/>
  <c r="B50" i="6" s="1"/>
  <c r="I54" i="4"/>
  <c r="B54" i="6" s="1"/>
  <c r="S14" i="4"/>
  <c r="V20" i="8"/>
  <c r="M22" i="7"/>
  <c r="W20" i="6"/>
  <c r="V13" i="8"/>
  <c r="V16" i="8"/>
  <c r="V24" i="8"/>
  <c r="V25" i="8"/>
  <c r="V26" i="8"/>
  <c r="M26" i="7"/>
  <c r="M27" i="7"/>
  <c r="S16" i="4"/>
  <c r="W16" i="6"/>
  <c r="W26" i="6"/>
  <c r="J34" i="4" l="1"/>
  <c r="I34" i="4" s="1"/>
  <c r="B34" i="6" s="1"/>
  <c r="C17" i="6"/>
  <c r="C9" i="6"/>
  <c r="C13" i="6"/>
  <c r="C11" i="6"/>
  <c r="C10" i="6"/>
  <c r="C14" i="6"/>
  <c r="T11" i="4"/>
  <c r="S11" i="4" s="1"/>
  <c r="C16" i="6"/>
  <c r="I35" i="6"/>
  <c r="B35" i="8" s="1"/>
  <c r="I53" i="6"/>
  <c r="B53" i="8" s="1"/>
  <c r="I20" i="6"/>
  <c r="B20" i="8" s="1"/>
  <c r="I46" i="6"/>
  <c r="B46" i="8" s="1"/>
  <c r="I42" i="6"/>
  <c r="B42" i="8" s="1"/>
  <c r="I55" i="6"/>
  <c r="B55" i="8" s="1"/>
  <c r="I44" i="6"/>
  <c r="B44" i="8" s="1"/>
  <c r="I41" i="6"/>
  <c r="B41" i="8" s="1"/>
  <c r="I47" i="6"/>
  <c r="B47" i="8" s="1"/>
  <c r="W11" i="8"/>
  <c r="M13" i="9"/>
  <c r="V11" i="10"/>
  <c r="V15" i="10"/>
  <c r="W15" i="8"/>
  <c r="M17" i="9"/>
  <c r="V16" i="10"/>
  <c r="M18" i="9"/>
  <c r="W16" i="8"/>
  <c r="W19" i="8"/>
  <c r="M21" i="9"/>
  <c r="V19" i="10"/>
  <c r="W22" i="8"/>
  <c r="M24" i="9"/>
  <c r="V22" i="10"/>
  <c r="W21" i="8"/>
  <c r="V21" i="10"/>
  <c r="M23" i="9"/>
  <c r="K31" i="33"/>
  <c r="J9" i="4" s="1"/>
  <c r="I9" i="4" s="1"/>
  <c r="B9" i="6" s="1"/>
  <c r="K30" i="33"/>
  <c r="K29" i="33"/>
  <c r="J13" i="4" s="1"/>
  <c r="I13" i="4" s="1"/>
  <c r="B13" i="6" s="1"/>
  <c r="K32" i="33"/>
  <c r="K86" i="33"/>
  <c r="K9" i="33" s="1"/>
  <c r="K88" i="33"/>
  <c r="K82" i="33"/>
  <c r="K85" i="33"/>
  <c r="K87" i="33"/>
  <c r="K81" i="33"/>
  <c r="C23" i="4" s="1"/>
  <c r="K89" i="33"/>
  <c r="K83" i="33"/>
  <c r="K90" i="33"/>
  <c r="K84" i="33"/>
  <c r="K28" i="33"/>
  <c r="K26" i="33"/>
  <c r="K27" i="33"/>
  <c r="J19" i="4" s="1"/>
  <c r="I19" i="4" s="1"/>
  <c r="B19" i="6" s="1"/>
  <c r="B17" i="6"/>
  <c r="C12" i="6"/>
  <c r="T17" i="4"/>
  <c r="S17" i="4" s="1"/>
  <c r="M15" i="9"/>
  <c r="V13" i="10"/>
  <c r="W13" i="8"/>
  <c r="K25" i="33"/>
  <c r="K226" i="33"/>
  <c r="K10" i="33" s="1"/>
  <c r="M14" i="6" s="1"/>
  <c r="L14" i="8" s="1"/>
  <c r="K227" i="33"/>
  <c r="K225" i="33"/>
  <c r="K145" i="33"/>
  <c r="K147" i="33"/>
  <c r="K141" i="33"/>
  <c r="K144" i="33"/>
  <c r="K11" i="33" s="1"/>
  <c r="K142" i="33"/>
  <c r="K146" i="33"/>
  <c r="K140" i="33"/>
  <c r="K143" i="33"/>
  <c r="K133" i="33"/>
  <c r="K132" i="33"/>
  <c r="K14" i="33" s="1"/>
  <c r="P30" i="5" s="1"/>
  <c r="P31" i="5" s="1"/>
  <c r="K130" i="33"/>
  <c r="K131" i="33"/>
  <c r="L15" i="6"/>
  <c r="K92" i="33"/>
  <c r="J26" i="4" s="1"/>
  <c r="I26" i="4" s="1"/>
  <c r="K93" i="33"/>
  <c r="K95" i="33"/>
  <c r="K94" i="33"/>
  <c r="J22" i="4"/>
  <c r="I22" i="4" s="1"/>
  <c r="B22" i="6" s="1"/>
  <c r="K37" i="33"/>
  <c r="K36" i="33"/>
  <c r="K33" i="33"/>
  <c r="J15" i="4" s="1"/>
  <c r="I15" i="4" s="1"/>
  <c r="B15" i="6" s="1"/>
  <c r="K38" i="33"/>
  <c r="K35" i="33"/>
  <c r="J16" i="4" s="1"/>
  <c r="I16" i="4" s="1"/>
  <c r="K34" i="33"/>
  <c r="J21" i="4" s="1"/>
  <c r="I21" i="4" s="1"/>
  <c r="B21" i="6" s="1"/>
  <c r="K15" i="33"/>
  <c r="Q30" i="5" s="1"/>
  <c r="Q31" i="5" s="1"/>
  <c r="K224" i="33"/>
  <c r="K7" i="33" s="1"/>
  <c r="T13" i="4"/>
  <c r="S13" i="4" s="1"/>
  <c r="I54" i="6"/>
  <c r="B54" i="8" s="1"/>
  <c r="M16" i="9"/>
  <c r="W14" i="8"/>
  <c r="V14" i="10"/>
  <c r="V25" i="10"/>
  <c r="W25" i="8"/>
  <c r="M27" i="9"/>
  <c r="M22" i="9"/>
  <c r="W20" i="8"/>
  <c r="V20" i="10"/>
  <c r="K91" i="33"/>
  <c r="S14" i="6"/>
  <c r="K122" i="33"/>
  <c r="K116" i="33"/>
  <c r="K124" i="33"/>
  <c r="K118" i="33"/>
  <c r="K121" i="33"/>
  <c r="K115" i="33"/>
  <c r="C25" i="4" s="1"/>
  <c r="K119" i="33"/>
  <c r="K123" i="33"/>
  <c r="K117" i="33"/>
  <c r="C29" i="4" s="1"/>
  <c r="K120" i="33"/>
  <c r="K220" i="33"/>
  <c r="K214" i="33"/>
  <c r="K221" i="33"/>
  <c r="K215" i="33"/>
  <c r="J45" i="4" s="1"/>
  <c r="I45" i="4" s="1"/>
  <c r="B45" i="6" s="1"/>
  <c r="K222" i="33"/>
  <c r="K216" i="33"/>
  <c r="C48" i="4" s="1"/>
  <c r="K223" i="33"/>
  <c r="K217" i="33"/>
  <c r="K16" i="33" s="1"/>
  <c r="G25" i="5" s="1"/>
  <c r="G26" i="5" s="1"/>
  <c r="K219" i="33"/>
  <c r="K218" i="33"/>
  <c r="K17" i="33" s="1"/>
  <c r="H25" i="5" s="1"/>
  <c r="H26" i="5" s="1"/>
  <c r="W23" i="8"/>
  <c r="V23" i="10"/>
  <c r="M25" i="9"/>
  <c r="W17" i="8"/>
  <c r="M19" i="9"/>
  <c r="V17" i="10"/>
  <c r="K110" i="33"/>
  <c r="K112" i="33"/>
  <c r="K106" i="33"/>
  <c r="K109" i="33"/>
  <c r="K113" i="33"/>
  <c r="K107" i="33"/>
  <c r="C27" i="4" s="1"/>
  <c r="K111" i="33"/>
  <c r="K108" i="33"/>
  <c r="K114" i="33"/>
  <c r="K98" i="33"/>
  <c r="K97" i="33"/>
  <c r="K99" i="33"/>
  <c r="K96" i="33"/>
  <c r="V26" i="10"/>
  <c r="M28" i="9"/>
  <c r="W26" i="8"/>
  <c r="M26" i="9"/>
  <c r="V24" i="10"/>
  <c r="W24" i="8"/>
  <c r="I50" i="6"/>
  <c r="B50" i="8" s="1"/>
  <c r="W18" i="8"/>
  <c r="M20" i="9"/>
  <c r="V18" i="10"/>
  <c r="V12" i="10"/>
  <c r="M14" i="9"/>
  <c r="W12" i="8"/>
  <c r="K104" i="33"/>
  <c r="K100" i="33"/>
  <c r="K103" i="33"/>
  <c r="K101" i="33"/>
  <c r="K105" i="33"/>
  <c r="K102" i="33"/>
  <c r="K139" i="33"/>
  <c r="J49" i="4" s="1"/>
  <c r="I49" i="4" s="1"/>
  <c r="B49" i="6" s="1"/>
  <c r="K135" i="33"/>
  <c r="M16" i="4" s="1"/>
  <c r="K138" i="33"/>
  <c r="K136" i="33"/>
  <c r="K134" i="33"/>
  <c r="K137" i="33"/>
  <c r="K68" i="33"/>
  <c r="K70" i="33"/>
  <c r="K67" i="33"/>
  <c r="J23" i="4" s="1"/>
  <c r="I23" i="4" s="1"/>
  <c r="K66" i="33"/>
  <c r="C28" i="4" s="1"/>
  <c r="K71" i="33"/>
  <c r="K65" i="33"/>
  <c r="J28" i="4" s="1"/>
  <c r="I28" i="4" s="1"/>
  <c r="K69" i="33"/>
  <c r="M11" i="4"/>
  <c r="J12" i="4"/>
  <c r="I12" i="4" s="1"/>
  <c r="B12" i="6" s="1"/>
  <c r="K127" i="33"/>
  <c r="C38" i="4" s="1"/>
  <c r="K129" i="33"/>
  <c r="K126" i="33"/>
  <c r="K128" i="33"/>
  <c r="J39" i="4" l="1"/>
  <c r="I39" i="4" s="1"/>
  <c r="B39" i="6" s="1"/>
  <c r="J48" i="4"/>
  <c r="I48" i="4" s="1"/>
  <c r="B48" i="6" s="1"/>
  <c r="J36" i="4"/>
  <c r="I36" i="4" s="1"/>
  <c r="B36" i="6" s="1"/>
  <c r="K18" i="33"/>
  <c r="I25" i="5" s="1"/>
  <c r="I26" i="5" s="1"/>
  <c r="J26" i="5" s="1"/>
  <c r="J31" i="4"/>
  <c r="I31" i="4" s="1"/>
  <c r="B31" i="6" s="1"/>
  <c r="J29" i="4"/>
  <c r="I29" i="4" s="1"/>
  <c r="B29" i="6" s="1"/>
  <c r="J38" i="4"/>
  <c r="I38" i="4" s="1"/>
  <c r="J37" i="4"/>
  <c r="I37" i="4" s="1"/>
  <c r="B37" i="6" s="1"/>
  <c r="J32" i="4"/>
  <c r="I32" i="4" s="1"/>
  <c r="B32" i="6" s="1"/>
  <c r="I47" i="8"/>
  <c r="B47" i="10" s="1"/>
  <c r="I46" i="8"/>
  <c r="B46" i="10" s="1"/>
  <c r="I44" i="8"/>
  <c r="B44" i="10" s="1"/>
  <c r="I20" i="8"/>
  <c r="B20" i="10" s="1"/>
  <c r="I53" i="8"/>
  <c r="B53" i="10" s="1"/>
  <c r="B25" i="6"/>
  <c r="S14" i="8"/>
  <c r="S15" i="6"/>
  <c r="J8" i="4"/>
  <c r="I8" i="4" s="1"/>
  <c r="B23" i="6"/>
  <c r="V19" i="12"/>
  <c r="W19" i="10"/>
  <c r="M21" i="11"/>
  <c r="M18" i="11"/>
  <c r="W16" i="10"/>
  <c r="V16" i="12"/>
  <c r="I42" i="8"/>
  <c r="B42" i="10" s="1"/>
  <c r="B28" i="6"/>
  <c r="M19" i="11"/>
  <c r="V17" i="12"/>
  <c r="W17" i="10"/>
  <c r="I17" i="6"/>
  <c r="M17" i="4"/>
  <c r="J30" i="4"/>
  <c r="I30" i="4" s="1"/>
  <c r="B30" i="6" s="1"/>
  <c r="M18" i="4"/>
  <c r="J11" i="4"/>
  <c r="I11" i="4" s="1"/>
  <c r="B11" i="6" s="1"/>
  <c r="W13" i="10"/>
  <c r="M15" i="11"/>
  <c r="V13" i="12"/>
  <c r="M13" i="4"/>
  <c r="B38" i="6"/>
  <c r="B16" i="6"/>
  <c r="V21" i="12"/>
  <c r="M23" i="11"/>
  <c r="W21" i="10"/>
  <c r="I50" i="8"/>
  <c r="B50" i="10" s="1"/>
  <c r="M28" i="11"/>
  <c r="W26" i="10"/>
  <c r="V26" i="12"/>
  <c r="I54" i="8"/>
  <c r="B54" i="10" s="1"/>
  <c r="M24" i="11"/>
  <c r="V22" i="12"/>
  <c r="W22" i="10"/>
  <c r="M17" i="11"/>
  <c r="V15" i="12"/>
  <c r="W15" i="10"/>
  <c r="I41" i="8"/>
  <c r="B41" i="10" s="1"/>
  <c r="I55" i="8"/>
  <c r="B55" i="10" s="1"/>
  <c r="I35" i="8"/>
  <c r="B35" i="10" s="1"/>
  <c r="L48" i="1"/>
  <c r="L45" i="1"/>
  <c r="L42" i="1"/>
  <c r="L39" i="1"/>
  <c r="L36" i="1"/>
  <c r="L33" i="1"/>
  <c r="L30" i="1"/>
  <c r="L27" i="1"/>
  <c r="L24" i="1"/>
  <c r="L21" i="1"/>
  <c r="L18" i="1"/>
  <c r="L15" i="1"/>
  <c r="L38" i="1"/>
  <c r="L37" i="1"/>
  <c r="L20" i="1"/>
  <c r="L19" i="1"/>
  <c r="L14" i="1"/>
  <c r="L41" i="1"/>
  <c r="L44" i="1"/>
  <c r="L43" i="1"/>
  <c r="L26" i="1"/>
  <c r="L25" i="1"/>
  <c r="L13" i="1"/>
  <c r="L47" i="1"/>
  <c r="L46" i="1"/>
  <c r="L29" i="1"/>
  <c r="L28" i="1"/>
  <c r="L35" i="1"/>
  <c r="L34" i="1"/>
  <c r="L17" i="1"/>
  <c r="L16" i="1"/>
  <c r="L11" i="1"/>
  <c r="L40" i="1"/>
  <c r="L49" i="1"/>
  <c r="L22" i="1"/>
  <c r="L31" i="1"/>
  <c r="L23" i="1"/>
  <c r="L12" i="1"/>
  <c r="L50" i="1"/>
  <c r="L32" i="1"/>
  <c r="M12" i="4"/>
  <c r="W25" i="10"/>
  <c r="M27" i="11"/>
  <c r="V25" i="12"/>
  <c r="C26" i="4"/>
  <c r="M13" i="11"/>
  <c r="V11" i="12"/>
  <c r="W11" i="10"/>
  <c r="L11" i="6"/>
  <c r="V12" i="12"/>
  <c r="M14" i="11"/>
  <c r="W12" i="10"/>
  <c r="L16" i="6"/>
  <c r="V18" i="12"/>
  <c r="W18" i="10"/>
  <c r="M20" i="11"/>
  <c r="W24" i="10"/>
  <c r="M26" i="11"/>
  <c r="V24" i="12"/>
  <c r="J27" i="4"/>
  <c r="I27" i="4" s="1"/>
  <c r="V23" i="12"/>
  <c r="M25" i="11"/>
  <c r="W23" i="10"/>
  <c r="V20" i="12"/>
  <c r="M22" i="11"/>
  <c r="W20" i="10"/>
  <c r="V14" i="12"/>
  <c r="M16" i="11"/>
  <c r="W14" i="10"/>
  <c r="J10" i="4"/>
  <c r="I10" i="4" s="1"/>
  <c r="B10" i="6" s="1"/>
  <c r="J51" i="4"/>
  <c r="I51" i="4" s="1"/>
  <c r="B51" i="6" s="1"/>
  <c r="J14" i="4"/>
  <c r="I14" i="4" s="1"/>
  <c r="B14" i="6" s="1"/>
  <c r="J40" i="4"/>
  <c r="I40" i="4" s="1"/>
  <c r="B40" i="6" s="1"/>
  <c r="N6" i="4" l="1"/>
  <c r="J6" i="5" s="1"/>
  <c r="J8" i="5" s="1"/>
  <c r="K8" i="5" s="1"/>
  <c r="I35" i="10"/>
  <c r="B35" i="12" s="1"/>
  <c r="I47" i="10"/>
  <c r="B47" i="12" s="1"/>
  <c r="I42" i="10"/>
  <c r="B42" i="12" s="1"/>
  <c r="I20" i="10"/>
  <c r="B20" i="12" s="1"/>
  <c r="I41" i="10"/>
  <c r="B41" i="12" s="1"/>
  <c r="I44" i="10"/>
  <c r="B44" i="12" s="1"/>
  <c r="I50" i="10"/>
  <c r="B50" i="12" s="1"/>
  <c r="V14" i="14"/>
  <c r="M16" i="13"/>
  <c r="W14" i="12"/>
  <c r="V23" i="14"/>
  <c r="M25" i="13"/>
  <c r="W23" i="12"/>
  <c r="M14" i="13"/>
  <c r="W12" i="12"/>
  <c r="V12" i="14"/>
  <c r="V11" i="14"/>
  <c r="W11" i="12"/>
  <c r="M13" i="13"/>
  <c r="M26" i="13"/>
  <c r="W24" i="12"/>
  <c r="V24" i="14"/>
  <c r="S16" i="6"/>
  <c r="M27" i="13"/>
  <c r="V25" i="14"/>
  <c r="W25" i="12"/>
  <c r="AD50" i="1"/>
  <c r="AS50" i="1" s="1"/>
  <c r="AD40" i="1"/>
  <c r="AS40" i="1" s="1"/>
  <c r="AD28" i="1"/>
  <c r="AS28" i="1" s="1"/>
  <c r="AD26" i="1"/>
  <c r="AS26" i="1" s="1"/>
  <c r="AD20" i="1"/>
  <c r="AS20" i="1" s="1"/>
  <c r="AD24" i="1"/>
  <c r="AS24" i="1" s="1"/>
  <c r="AD42" i="1"/>
  <c r="AS42" i="1" s="1"/>
  <c r="I55" i="10"/>
  <c r="B55" i="12" s="1"/>
  <c r="B27" i="6"/>
  <c r="I53" i="10"/>
  <c r="B53" i="12" s="1"/>
  <c r="I46" i="10"/>
  <c r="B46" i="12" s="1"/>
  <c r="L17" i="6"/>
  <c r="AD23" i="1"/>
  <c r="AS23" i="1" s="1"/>
  <c r="AD16" i="1"/>
  <c r="AS16" i="1" s="1"/>
  <c r="AD46" i="1"/>
  <c r="AS46" i="1" s="1"/>
  <c r="AD44" i="1"/>
  <c r="AS44" i="1" s="1"/>
  <c r="AD38" i="1"/>
  <c r="AS38" i="1" s="1"/>
  <c r="AD30" i="1"/>
  <c r="AS30" i="1" s="1"/>
  <c r="AD48" i="1"/>
  <c r="AS48" i="1" s="1"/>
  <c r="V19" i="14"/>
  <c r="W19" i="12"/>
  <c r="M21" i="13"/>
  <c r="V20" i="14"/>
  <c r="W20" i="12"/>
  <c r="M22" i="13"/>
  <c r="AD12" i="1"/>
  <c r="AS12" i="1" s="1"/>
  <c r="AD11" i="1"/>
  <c r="AS11" i="1" s="1"/>
  <c r="AD29" i="1"/>
  <c r="AS29" i="1" s="1"/>
  <c r="AD43" i="1"/>
  <c r="AS43" i="1" s="1"/>
  <c r="AD37" i="1"/>
  <c r="AS37" i="1" s="1"/>
  <c r="AD27" i="1"/>
  <c r="AS27" i="1" s="1"/>
  <c r="AD45" i="1"/>
  <c r="AS45" i="1" s="1"/>
  <c r="V22" i="14"/>
  <c r="W22" i="12"/>
  <c r="M24" i="13"/>
  <c r="I54" i="10"/>
  <c r="B54" i="12" s="1"/>
  <c r="V21" i="14"/>
  <c r="M23" i="13"/>
  <c r="W21" i="12"/>
  <c r="AD31" i="1"/>
  <c r="AS31" i="1" s="1"/>
  <c r="AD17" i="1"/>
  <c r="AS17" i="1" s="1"/>
  <c r="AD47" i="1"/>
  <c r="AS47" i="1" s="1"/>
  <c r="AD41" i="1"/>
  <c r="AS41" i="1" s="1"/>
  <c r="AD15" i="1"/>
  <c r="AS15" i="1" s="1"/>
  <c r="AD33" i="1"/>
  <c r="AS33" i="1" s="1"/>
  <c r="Q6" i="4"/>
  <c r="N6" i="5" s="1"/>
  <c r="N8" i="5" s="1"/>
  <c r="O8" i="5" s="1"/>
  <c r="L18" i="6"/>
  <c r="V17" i="14"/>
  <c r="W17" i="12"/>
  <c r="M19" i="13"/>
  <c r="M18" i="13"/>
  <c r="V16" i="14"/>
  <c r="W16" i="12"/>
  <c r="I25" i="6"/>
  <c r="U6" i="4"/>
  <c r="B6" i="5" s="1"/>
  <c r="B8" i="5" s="1"/>
  <c r="C8" i="5" s="1"/>
  <c r="B26" i="6"/>
  <c r="AD22" i="1"/>
  <c r="AS22" i="1" s="1"/>
  <c r="L13" i="6"/>
  <c r="L12" i="6"/>
  <c r="AD34" i="1"/>
  <c r="AS34" i="1" s="1"/>
  <c r="AD13" i="1"/>
  <c r="AS13" i="1" s="1"/>
  <c r="AD14" i="1"/>
  <c r="AS14" i="1" s="1"/>
  <c r="AD18" i="1"/>
  <c r="AS18" i="1" s="1"/>
  <c r="AD36" i="1"/>
  <c r="AS36" i="1" s="1"/>
  <c r="V15" i="14"/>
  <c r="W15" i="12"/>
  <c r="M17" i="13"/>
  <c r="M28" i="13"/>
  <c r="W26" i="12"/>
  <c r="V26" i="14"/>
  <c r="V18" i="14"/>
  <c r="W18" i="12"/>
  <c r="M20" i="13"/>
  <c r="AD32" i="1"/>
  <c r="AS32" i="1" s="1"/>
  <c r="AD49" i="1"/>
  <c r="AS49" i="1" s="1"/>
  <c r="AD35" i="1"/>
  <c r="AS35" i="1" s="1"/>
  <c r="AD25" i="1"/>
  <c r="AS25" i="1" s="1"/>
  <c r="AD19" i="1"/>
  <c r="AS19" i="1" s="1"/>
  <c r="AD21" i="1"/>
  <c r="AS21" i="1" s="1"/>
  <c r="AD39" i="1"/>
  <c r="AS39" i="1" s="1"/>
  <c r="M15" i="13"/>
  <c r="V13" i="14"/>
  <c r="W13" i="12"/>
  <c r="K6" i="4"/>
  <c r="F6" i="5" s="1"/>
  <c r="F8" i="5" s="1"/>
  <c r="G8" i="5" s="1"/>
  <c r="B8" i="6"/>
  <c r="I41" i="12" l="1"/>
  <c r="B41" i="14" s="1"/>
  <c r="I50" i="12"/>
  <c r="B50" i="14" s="1"/>
  <c r="L177" i="33"/>
  <c r="L179" i="33"/>
  <c r="L173" i="33"/>
  <c r="L176" i="33"/>
  <c r="L175" i="33"/>
  <c r="L174" i="33"/>
  <c r="L180" i="33"/>
  <c r="L178" i="33"/>
  <c r="I54" i="12"/>
  <c r="B54" i="14" s="1"/>
  <c r="I46" i="12"/>
  <c r="B46" i="14" s="1"/>
  <c r="L158" i="33"/>
  <c r="L233" i="33"/>
  <c r="L228" i="33"/>
  <c r="L229" i="33"/>
  <c r="L231" i="33"/>
  <c r="L230" i="33"/>
  <c r="L232" i="33"/>
  <c r="L160" i="33"/>
  <c r="L161" i="33"/>
  <c r="L159" i="33"/>
  <c r="L162" i="33"/>
  <c r="M15" i="15"/>
  <c r="V13" i="16"/>
  <c r="W13" i="14"/>
  <c r="L146" i="33"/>
  <c r="L140" i="33"/>
  <c r="L142" i="33"/>
  <c r="L145" i="33"/>
  <c r="L147" i="33"/>
  <c r="L143" i="33"/>
  <c r="L141" i="33"/>
  <c r="L144" i="33"/>
  <c r="L224" i="33"/>
  <c r="L210" i="33"/>
  <c r="L213" i="33"/>
  <c r="L206" i="33"/>
  <c r="L207" i="33"/>
  <c r="L212" i="33"/>
  <c r="L211" i="33"/>
  <c r="L208" i="33"/>
  <c r="L209" i="33"/>
  <c r="L111" i="33"/>
  <c r="L113" i="33"/>
  <c r="L107" i="33"/>
  <c r="C27" i="6" s="1"/>
  <c r="L110" i="33"/>
  <c r="L114" i="33"/>
  <c r="L112" i="33"/>
  <c r="L108" i="33"/>
  <c r="L106" i="33"/>
  <c r="L109" i="33"/>
  <c r="L164" i="33"/>
  <c r="L166" i="33"/>
  <c r="L163" i="33"/>
  <c r="L165" i="33"/>
  <c r="L199" i="33"/>
  <c r="L198" i="33"/>
  <c r="L197" i="33"/>
  <c r="L196" i="33"/>
  <c r="L91" i="33"/>
  <c r="L105" i="33"/>
  <c r="L101" i="33"/>
  <c r="L104" i="33"/>
  <c r="L102" i="33"/>
  <c r="L100" i="33"/>
  <c r="L103" i="33"/>
  <c r="V15" i="16"/>
  <c r="W15" i="14"/>
  <c r="M17" i="15"/>
  <c r="L99" i="33"/>
  <c r="L98" i="33"/>
  <c r="L97" i="33"/>
  <c r="L96" i="33"/>
  <c r="M20" i="15"/>
  <c r="W18" i="14"/>
  <c r="V18" i="16"/>
  <c r="L59" i="33"/>
  <c r="L58" i="33"/>
  <c r="L60" i="33"/>
  <c r="L32" i="33"/>
  <c r="L31" i="33"/>
  <c r="J9" i="6" s="1"/>
  <c r="I9" i="6" s="1"/>
  <c r="L29" i="33"/>
  <c r="L30" i="33"/>
  <c r="L192" i="33"/>
  <c r="M24" i="15"/>
  <c r="V22" i="16"/>
  <c r="W22" i="14"/>
  <c r="L125" i="33"/>
  <c r="M16" i="15"/>
  <c r="W14" i="14"/>
  <c r="V14" i="16"/>
  <c r="I44" i="12"/>
  <c r="B44" i="14" s="1"/>
  <c r="I42" i="12"/>
  <c r="B42" i="14" s="1"/>
  <c r="M19" i="15"/>
  <c r="V17" i="16"/>
  <c r="W17" i="14"/>
  <c r="L44" i="33"/>
  <c r="L43" i="33"/>
  <c r="L39" i="33"/>
  <c r="L42" i="33"/>
  <c r="L41" i="33"/>
  <c r="L40" i="33"/>
  <c r="L45" i="33"/>
  <c r="L46" i="33"/>
  <c r="L57" i="33"/>
  <c r="W21" i="14"/>
  <c r="M23" i="15"/>
  <c r="V21" i="16"/>
  <c r="L25" i="33"/>
  <c r="M21" i="15"/>
  <c r="V19" i="16"/>
  <c r="W19" i="14"/>
  <c r="L227" i="33"/>
  <c r="L225" i="33"/>
  <c r="L226" i="33"/>
  <c r="L10" i="33" s="1"/>
  <c r="M14" i="8" s="1"/>
  <c r="L128" i="33"/>
  <c r="L127" i="33"/>
  <c r="C38" i="6" s="1"/>
  <c r="L129" i="33"/>
  <c r="L126" i="33"/>
  <c r="L205" i="33"/>
  <c r="L200" i="33"/>
  <c r="L201" i="33"/>
  <c r="C32" i="6" s="1"/>
  <c r="L204" i="33"/>
  <c r="L203" i="33"/>
  <c r="L202" i="33"/>
  <c r="L194" i="33"/>
  <c r="L195" i="33"/>
  <c r="L193" i="33"/>
  <c r="L123" i="33"/>
  <c r="L117" i="33"/>
  <c r="C29" i="6" s="1"/>
  <c r="L119" i="33"/>
  <c r="L122" i="33"/>
  <c r="L116" i="33"/>
  <c r="L124" i="33"/>
  <c r="L120" i="33"/>
  <c r="L118" i="33"/>
  <c r="L121" i="33"/>
  <c r="L115" i="33"/>
  <c r="C25" i="6" s="1"/>
  <c r="L239" i="33"/>
  <c r="L240" i="33"/>
  <c r="L234" i="33"/>
  <c r="L235" i="33"/>
  <c r="L237" i="33"/>
  <c r="L19" i="33" s="1"/>
  <c r="L236" i="33"/>
  <c r="L238" i="33"/>
  <c r="L63" i="33"/>
  <c r="L62" i="33"/>
  <c r="L64" i="33"/>
  <c r="L61" i="33"/>
  <c r="L134" i="33"/>
  <c r="L136" i="33"/>
  <c r="L139" i="33"/>
  <c r="J49" i="6" s="1"/>
  <c r="I49" i="6" s="1"/>
  <c r="B49" i="8" s="1"/>
  <c r="L137" i="33"/>
  <c r="L135" i="33"/>
  <c r="L138" i="33"/>
  <c r="L69" i="33"/>
  <c r="L71" i="33"/>
  <c r="L65" i="33"/>
  <c r="L68" i="33"/>
  <c r="L66" i="33"/>
  <c r="L67" i="33"/>
  <c r="L70" i="33"/>
  <c r="M26" i="15"/>
  <c r="V24" i="16"/>
  <c r="W24" i="14"/>
  <c r="I47" i="12"/>
  <c r="B47" i="14" s="1"/>
  <c r="L75" i="33"/>
  <c r="L77" i="33"/>
  <c r="L80" i="33"/>
  <c r="L74" i="33"/>
  <c r="L79" i="33"/>
  <c r="L78" i="33"/>
  <c r="L72" i="33"/>
  <c r="L73" i="33"/>
  <c r="L76" i="33"/>
  <c r="S18" i="6"/>
  <c r="M22" i="15"/>
  <c r="V20" i="16"/>
  <c r="W20" i="14"/>
  <c r="L170" i="33"/>
  <c r="L13" i="33" s="1"/>
  <c r="O30" i="7" s="1"/>
  <c r="O31" i="7" s="1"/>
  <c r="L172" i="33"/>
  <c r="L169" i="33"/>
  <c r="L171" i="33"/>
  <c r="L167" i="33"/>
  <c r="M15" i="6" s="1"/>
  <c r="L168" i="33"/>
  <c r="V26" i="16"/>
  <c r="M28" i="15"/>
  <c r="W26" i="14"/>
  <c r="L38" i="33"/>
  <c r="L37" i="33"/>
  <c r="L36" i="33"/>
  <c r="L35" i="33"/>
  <c r="L34" i="33"/>
  <c r="L33" i="33"/>
  <c r="J15" i="6" s="1"/>
  <c r="I15" i="6" s="1"/>
  <c r="L56" i="33"/>
  <c r="L50" i="33"/>
  <c r="L55" i="33"/>
  <c r="L49" i="33"/>
  <c r="L54" i="33"/>
  <c r="L53" i="33"/>
  <c r="L52" i="33"/>
  <c r="L8" i="33" s="1"/>
  <c r="L48" i="33"/>
  <c r="L47" i="33"/>
  <c r="L51" i="33"/>
  <c r="C15" i="6" s="1"/>
  <c r="I53" i="12"/>
  <c r="B53" i="14" s="1"/>
  <c r="L93" i="33"/>
  <c r="C26" i="6" s="1"/>
  <c r="L95" i="33"/>
  <c r="L92" i="33"/>
  <c r="J26" i="6" s="1"/>
  <c r="I26" i="6" s="1"/>
  <c r="L94" i="33"/>
  <c r="L189" i="33"/>
  <c r="L183" i="33"/>
  <c r="L191" i="33"/>
  <c r="L185" i="33"/>
  <c r="L188" i="33"/>
  <c r="L182" i="33"/>
  <c r="L187" i="33"/>
  <c r="L12" i="33" s="1"/>
  <c r="L181" i="33"/>
  <c r="L186" i="33"/>
  <c r="L190" i="33"/>
  <c r="L184" i="33"/>
  <c r="M13" i="15"/>
  <c r="V11" i="16"/>
  <c r="W11" i="14"/>
  <c r="W23" i="14"/>
  <c r="M25" i="15"/>
  <c r="V23" i="16"/>
  <c r="I20" i="12"/>
  <c r="B20" i="14" s="1"/>
  <c r="I35" i="12"/>
  <c r="B35" i="14" s="1"/>
  <c r="L26" i="33"/>
  <c r="L27" i="33"/>
  <c r="J19" i="6" s="1"/>
  <c r="I19" i="6" s="1"/>
  <c r="B19" i="8" s="1"/>
  <c r="L28" i="33"/>
  <c r="L87" i="33"/>
  <c r="L81" i="33"/>
  <c r="L89" i="33"/>
  <c r="L83" i="33"/>
  <c r="L86" i="33"/>
  <c r="L9" i="33" s="1"/>
  <c r="L85" i="33"/>
  <c r="L90" i="33"/>
  <c r="L82" i="33"/>
  <c r="L84" i="33"/>
  <c r="L88" i="33"/>
  <c r="V16" i="16"/>
  <c r="M18" i="15"/>
  <c r="W16" i="14"/>
  <c r="L152" i="33"/>
  <c r="L154" i="33"/>
  <c r="L148" i="33"/>
  <c r="T12" i="6" s="1"/>
  <c r="S12" i="6" s="1"/>
  <c r="L157" i="33"/>
  <c r="L151" i="33"/>
  <c r="L155" i="33"/>
  <c r="L153" i="33"/>
  <c r="L149" i="33"/>
  <c r="T17" i="6" s="1"/>
  <c r="S17" i="6" s="1"/>
  <c r="L156" i="33"/>
  <c r="L150" i="33"/>
  <c r="L130" i="33"/>
  <c r="L133" i="33"/>
  <c r="L131" i="33"/>
  <c r="L132" i="33"/>
  <c r="L221" i="33"/>
  <c r="L215" i="33"/>
  <c r="J45" i="6" s="1"/>
  <c r="I45" i="6" s="1"/>
  <c r="B45" i="8" s="1"/>
  <c r="L222" i="33"/>
  <c r="L216" i="33"/>
  <c r="C48" i="6" s="1"/>
  <c r="L223" i="33"/>
  <c r="L217" i="33"/>
  <c r="L16" i="33" s="1"/>
  <c r="G25" i="7" s="1"/>
  <c r="G26" i="7" s="1"/>
  <c r="L219" i="33"/>
  <c r="L218" i="33"/>
  <c r="L214" i="33"/>
  <c r="L220" i="33"/>
  <c r="I55" i="12"/>
  <c r="B55" i="14" s="1"/>
  <c r="V25" i="16"/>
  <c r="W25" i="14"/>
  <c r="M27" i="15"/>
  <c r="V12" i="16"/>
  <c r="M14" i="15"/>
  <c r="W12" i="14"/>
  <c r="L11" i="33" l="1"/>
  <c r="J37" i="6"/>
  <c r="I37" i="6" s="1"/>
  <c r="B37" i="8" s="1"/>
  <c r="J21" i="6"/>
  <c r="I21" i="6" s="1"/>
  <c r="B21" i="8" s="1"/>
  <c r="C23" i="6"/>
  <c r="J8" i="6"/>
  <c r="I8" i="6" s="1"/>
  <c r="B8" i="8" s="1"/>
  <c r="J22" i="6"/>
  <c r="I22" i="6" s="1"/>
  <c r="B22" i="8" s="1"/>
  <c r="M17" i="6"/>
  <c r="L17" i="8" s="1"/>
  <c r="L15" i="33"/>
  <c r="Q30" i="7" s="1"/>
  <c r="Q31" i="7" s="1"/>
  <c r="I42" i="14"/>
  <c r="B42" i="16" s="1"/>
  <c r="I44" i="14"/>
  <c r="B44" i="16" s="1"/>
  <c r="I53" i="14"/>
  <c r="B53" i="16" s="1"/>
  <c r="I50" i="14"/>
  <c r="B50" i="16" s="1"/>
  <c r="I55" i="14"/>
  <c r="B55" i="16" s="1"/>
  <c r="I20" i="14"/>
  <c r="B20" i="16" s="1"/>
  <c r="I46" i="14"/>
  <c r="B46" i="16" s="1"/>
  <c r="I47" i="14"/>
  <c r="B47" i="16" s="1"/>
  <c r="I54" i="14"/>
  <c r="B54" i="16" s="1"/>
  <c r="J40" i="6"/>
  <c r="I40" i="6" s="1"/>
  <c r="B40" i="8" s="1"/>
  <c r="T13" i="6"/>
  <c r="S13" i="6" s="1"/>
  <c r="J32" i="6"/>
  <c r="I32" i="6" s="1"/>
  <c r="B32" i="8" s="1"/>
  <c r="M16" i="6"/>
  <c r="V21" i="18"/>
  <c r="W21" i="16"/>
  <c r="M23" i="17"/>
  <c r="J12" i="6"/>
  <c r="I12" i="6" s="1"/>
  <c r="B12" i="8" s="1"/>
  <c r="L17" i="33"/>
  <c r="H25" i="7" s="1"/>
  <c r="H26" i="7" s="1"/>
  <c r="B26" i="8"/>
  <c r="J27" i="6"/>
  <c r="I27" i="6" s="1"/>
  <c r="B25" i="8"/>
  <c r="J13" i="6"/>
  <c r="I13" i="6" s="1"/>
  <c r="B13" i="8" s="1"/>
  <c r="T11" i="6"/>
  <c r="S11" i="6" s="1"/>
  <c r="J34" i="6"/>
  <c r="I34" i="6" s="1"/>
  <c r="B34" i="8" s="1"/>
  <c r="J16" i="6"/>
  <c r="I16" i="6" s="1"/>
  <c r="V26" i="18"/>
  <c r="M28" i="17"/>
  <c r="W26" i="16"/>
  <c r="M13" i="6"/>
  <c r="J36" i="6"/>
  <c r="I36" i="6" s="1"/>
  <c r="B36" i="8" s="1"/>
  <c r="V19" i="18"/>
  <c r="M21" i="17"/>
  <c r="W19" i="16"/>
  <c r="M20" i="17"/>
  <c r="W18" i="16"/>
  <c r="V18" i="18"/>
  <c r="J30" i="6"/>
  <c r="I30" i="6" s="1"/>
  <c r="B30" i="8" s="1"/>
  <c r="V15" i="18"/>
  <c r="W15" i="16"/>
  <c r="M17" i="17"/>
  <c r="J31" i="6"/>
  <c r="I31" i="6" s="1"/>
  <c r="B31" i="8" s="1"/>
  <c r="V11" i="18"/>
  <c r="M13" i="17"/>
  <c r="W11" i="16"/>
  <c r="J28" i="6"/>
  <c r="I28" i="6" s="1"/>
  <c r="M19" i="17"/>
  <c r="W17" i="16"/>
  <c r="V17" i="18"/>
  <c r="V13" i="18"/>
  <c r="M15" i="17"/>
  <c r="W13" i="16"/>
  <c r="M11" i="6"/>
  <c r="B15" i="8"/>
  <c r="C28" i="6"/>
  <c r="C8" i="8"/>
  <c r="C10" i="8"/>
  <c r="C14" i="8"/>
  <c r="C11" i="8"/>
  <c r="C9" i="8"/>
  <c r="C16" i="8"/>
  <c r="C13" i="8"/>
  <c r="C17" i="8"/>
  <c r="B17" i="8"/>
  <c r="C12" i="8"/>
  <c r="B9" i="8"/>
  <c r="B16" i="8"/>
  <c r="J10" i="6"/>
  <c r="I10" i="6" s="1"/>
  <c r="B10" i="8" s="1"/>
  <c r="J48" i="6"/>
  <c r="I48" i="6" s="1"/>
  <c r="B48" i="8" s="1"/>
  <c r="V24" i="18"/>
  <c r="W24" i="16"/>
  <c r="M26" i="17"/>
  <c r="M12" i="6"/>
  <c r="J39" i="6"/>
  <c r="I39" i="6" s="1"/>
  <c r="B39" i="8" s="1"/>
  <c r="M18" i="6"/>
  <c r="L14" i="10"/>
  <c r="J23" i="6"/>
  <c r="I23" i="6" s="1"/>
  <c r="B23" i="8" s="1"/>
  <c r="L7" i="33"/>
  <c r="V25" i="18"/>
  <c r="M27" i="17"/>
  <c r="W25" i="16"/>
  <c r="I35" i="14"/>
  <c r="B35" i="16" s="1"/>
  <c r="V16" i="18"/>
  <c r="W16" i="16"/>
  <c r="M18" i="17"/>
  <c r="J29" i="6"/>
  <c r="I29" i="6" s="1"/>
  <c r="B29" i="8" s="1"/>
  <c r="M14" i="17"/>
  <c r="V12" i="18"/>
  <c r="W12" i="16"/>
  <c r="M25" i="17"/>
  <c r="W23" i="16"/>
  <c r="V23" i="18"/>
  <c r="J11" i="6"/>
  <c r="I11" i="6" s="1"/>
  <c r="B11" i="8" s="1"/>
  <c r="L15" i="8"/>
  <c r="M22" i="17"/>
  <c r="V20" i="18"/>
  <c r="W20" i="16"/>
  <c r="L14" i="33"/>
  <c r="P30" i="7" s="1"/>
  <c r="P31" i="7" s="1"/>
  <c r="J38" i="6"/>
  <c r="I38" i="6" s="1"/>
  <c r="B38" i="8" s="1"/>
  <c r="J14" i="6"/>
  <c r="I14" i="6" s="1"/>
  <c r="B14" i="8" s="1"/>
  <c r="W14" i="16"/>
  <c r="V14" i="18"/>
  <c r="M16" i="17"/>
  <c r="V22" i="18"/>
  <c r="M24" i="17"/>
  <c r="W22" i="16"/>
  <c r="B27" i="8"/>
  <c r="L18" i="33"/>
  <c r="I25" i="7" s="1"/>
  <c r="I26" i="7" s="1"/>
  <c r="J26" i="7" s="1"/>
  <c r="J51" i="6"/>
  <c r="I51" i="6" s="1"/>
  <c r="B51" i="8" s="1"/>
  <c r="I41" i="14"/>
  <c r="B41" i="16" s="1"/>
  <c r="I35" i="16" l="1"/>
  <c r="B35" i="18" s="1"/>
  <c r="I47" i="16"/>
  <c r="B47" i="18" s="1"/>
  <c r="I50" i="16"/>
  <c r="B50" i="18" s="1"/>
  <c r="I44" i="16"/>
  <c r="B44" i="18" s="1"/>
  <c r="I54" i="16"/>
  <c r="B54" i="18" s="1"/>
  <c r="I42" i="16"/>
  <c r="B42" i="18" s="1"/>
  <c r="V16" i="20"/>
  <c r="W16" i="18"/>
  <c r="M18" i="19"/>
  <c r="L18" i="8"/>
  <c r="L11" i="8"/>
  <c r="V15" i="20"/>
  <c r="W15" i="18"/>
  <c r="M17" i="19"/>
  <c r="N6" i="6"/>
  <c r="J6" i="7" s="1"/>
  <c r="J8" i="7" s="1"/>
  <c r="K8" i="7" s="1"/>
  <c r="I20" i="16"/>
  <c r="B20" i="18" s="1"/>
  <c r="I53" i="16"/>
  <c r="B53" i="18" s="1"/>
  <c r="M16" i="19"/>
  <c r="V14" i="20"/>
  <c r="W14" i="18"/>
  <c r="M22" i="19"/>
  <c r="W20" i="18"/>
  <c r="V20" i="20"/>
  <c r="M41" i="1"/>
  <c r="M40" i="1"/>
  <c r="M39" i="1"/>
  <c r="M23" i="1"/>
  <c r="M22" i="1"/>
  <c r="M21" i="1"/>
  <c r="M47" i="1"/>
  <c r="M46" i="1"/>
  <c r="M45" i="1"/>
  <c r="M29" i="1"/>
  <c r="M28" i="1"/>
  <c r="M27" i="1"/>
  <c r="M12" i="1"/>
  <c r="M50" i="1"/>
  <c r="M49" i="1"/>
  <c r="M48" i="1"/>
  <c r="M32" i="1"/>
  <c r="M31" i="1"/>
  <c r="M30" i="1"/>
  <c r="M38" i="1"/>
  <c r="M37" i="1"/>
  <c r="M36" i="1"/>
  <c r="M20" i="1"/>
  <c r="M19" i="1"/>
  <c r="M18" i="1"/>
  <c r="M14" i="1"/>
  <c r="M11" i="1"/>
  <c r="M44" i="1"/>
  <c r="M43" i="1"/>
  <c r="M42" i="1"/>
  <c r="M35" i="1"/>
  <c r="M26" i="1"/>
  <c r="M24" i="1"/>
  <c r="M33" i="1"/>
  <c r="M17" i="1"/>
  <c r="M25" i="1"/>
  <c r="M15" i="1"/>
  <c r="M16" i="1"/>
  <c r="M13" i="1"/>
  <c r="M34" i="1"/>
  <c r="L12" i="8"/>
  <c r="V18" i="20"/>
  <c r="M20" i="19"/>
  <c r="W18" i="18"/>
  <c r="V26" i="20"/>
  <c r="M28" i="19"/>
  <c r="W26" i="18"/>
  <c r="M23" i="19"/>
  <c r="W21" i="18"/>
  <c r="V21" i="20"/>
  <c r="V23" i="20"/>
  <c r="M25" i="19"/>
  <c r="W23" i="18"/>
  <c r="V12" i="20"/>
  <c r="W12" i="18"/>
  <c r="M14" i="19"/>
  <c r="V25" i="20"/>
  <c r="M27" i="19"/>
  <c r="W25" i="18"/>
  <c r="M15" i="19"/>
  <c r="V13" i="20"/>
  <c r="W13" i="18"/>
  <c r="V11" i="20"/>
  <c r="M13" i="19"/>
  <c r="W11" i="18"/>
  <c r="L13" i="8"/>
  <c r="Q6" i="6"/>
  <c r="N6" i="7" s="1"/>
  <c r="N8" i="7" s="1"/>
  <c r="O8" i="7" s="1"/>
  <c r="I25" i="8"/>
  <c r="L16" i="8"/>
  <c r="K6" i="6"/>
  <c r="F6" i="7" s="1"/>
  <c r="F8" i="7" s="1"/>
  <c r="G8" i="7" s="1"/>
  <c r="I55" i="16"/>
  <c r="B55" i="18" s="1"/>
  <c r="B28" i="8"/>
  <c r="S15" i="8"/>
  <c r="S14" i="10"/>
  <c r="I17" i="8"/>
  <c r="I46" i="16"/>
  <c r="B46" i="18" s="1"/>
  <c r="V22" i="20"/>
  <c r="W22" i="18"/>
  <c r="M24" i="19"/>
  <c r="V19" i="20"/>
  <c r="M21" i="19"/>
  <c r="W19" i="18"/>
  <c r="I41" i="16"/>
  <c r="B41" i="18" s="1"/>
  <c r="M26" i="19"/>
  <c r="V24" i="20"/>
  <c r="W24" i="18"/>
  <c r="M19" i="19"/>
  <c r="V17" i="20"/>
  <c r="W17" i="18"/>
  <c r="U6" i="6"/>
  <c r="B6" i="7" s="1"/>
  <c r="B8" i="7" s="1"/>
  <c r="C8" i="7" s="1"/>
  <c r="I54" i="18" l="1"/>
  <c r="B54" i="20" s="1"/>
  <c r="I42" i="18"/>
  <c r="B42" i="20" s="1"/>
  <c r="I44" i="18"/>
  <c r="B44" i="20" s="1"/>
  <c r="I50" i="18"/>
  <c r="B50" i="20" s="1"/>
  <c r="I47" i="18"/>
  <c r="B47" i="20" s="1"/>
  <c r="I41" i="18"/>
  <c r="B41" i="20" s="1"/>
  <c r="I35" i="18"/>
  <c r="B35" i="20" s="1"/>
  <c r="AE49" i="1"/>
  <c r="AT49" i="1" s="1"/>
  <c r="M27" i="21"/>
  <c r="V25" i="22"/>
  <c r="W25" i="20"/>
  <c r="AE15" i="1"/>
  <c r="AT15" i="1" s="1"/>
  <c r="AE35" i="1"/>
  <c r="AT35" i="1" s="1"/>
  <c r="AE18" i="1"/>
  <c r="AT18" i="1" s="1"/>
  <c r="AE30" i="1"/>
  <c r="AT30" i="1" s="1"/>
  <c r="AE12" i="1"/>
  <c r="AT12" i="1" s="1"/>
  <c r="AE47" i="1"/>
  <c r="AT47" i="1" s="1"/>
  <c r="AE41" i="1"/>
  <c r="AT41" i="1" s="1"/>
  <c r="I20" i="18"/>
  <c r="B20" i="20" s="1"/>
  <c r="W13" i="20"/>
  <c r="V13" i="22"/>
  <c r="M15" i="21"/>
  <c r="V18" i="22"/>
  <c r="M20" i="21"/>
  <c r="W18" i="20"/>
  <c r="AE25" i="1"/>
  <c r="AT25" i="1" s="1"/>
  <c r="AE42" i="1"/>
  <c r="AT42" i="1" s="1"/>
  <c r="AE19" i="1"/>
  <c r="AT19" i="1" s="1"/>
  <c r="AE31" i="1"/>
  <c r="AT31" i="1" s="1"/>
  <c r="AE27" i="1"/>
  <c r="AT27" i="1" s="1"/>
  <c r="AE21" i="1"/>
  <c r="AT21" i="1" s="1"/>
  <c r="V20" i="22"/>
  <c r="W20" i="20"/>
  <c r="M22" i="21"/>
  <c r="M18" i="21"/>
  <c r="W16" i="20"/>
  <c r="V16" i="22"/>
  <c r="AE37" i="1"/>
  <c r="AT37" i="1" s="1"/>
  <c r="I46" i="18"/>
  <c r="B46" i="20" s="1"/>
  <c r="I55" i="18"/>
  <c r="B55" i="20" s="1"/>
  <c r="V23" i="22"/>
  <c r="W23" i="20"/>
  <c r="M25" i="21"/>
  <c r="V26" i="22"/>
  <c r="W26" i="20"/>
  <c r="M28" i="21"/>
  <c r="AE17" i="1"/>
  <c r="AT17" i="1" s="1"/>
  <c r="AE43" i="1"/>
  <c r="AT43" i="1" s="1"/>
  <c r="AE20" i="1"/>
  <c r="AT20" i="1" s="1"/>
  <c r="AE32" i="1"/>
  <c r="AT32" i="1" s="1"/>
  <c r="AE28" i="1"/>
  <c r="AT28" i="1" s="1"/>
  <c r="AE22" i="1"/>
  <c r="AT22" i="1" s="1"/>
  <c r="V15" i="22"/>
  <c r="M17" i="21"/>
  <c r="W15" i="20"/>
  <c r="AE11" i="1"/>
  <c r="AT11" i="1" s="1"/>
  <c r="M26" i="21"/>
  <c r="W24" i="20"/>
  <c r="V24" i="22"/>
  <c r="M19" i="21"/>
  <c r="V17" i="22"/>
  <c r="W17" i="20"/>
  <c r="V21" i="22"/>
  <c r="M23" i="21"/>
  <c r="W21" i="20"/>
  <c r="AE34" i="1"/>
  <c r="AT34" i="1" s="1"/>
  <c r="AE33" i="1"/>
  <c r="AT33" i="1" s="1"/>
  <c r="AE44" i="1"/>
  <c r="AT44" i="1" s="1"/>
  <c r="AE36" i="1"/>
  <c r="AT36" i="1" s="1"/>
  <c r="AE48" i="1"/>
  <c r="AT48" i="1" s="1"/>
  <c r="AE29" i="1"/>
  <c r="AT29" i="1" s="1"/>
  <c r="AE23" i="1"/>
  <c r="AT23" i="1" s="1"/>
  <c r="S18" i="8"/>
  <c r="M21" i="21"/>
  <c r="V19" i="22"/>
  <c r="W19" i="20"/>
  <c r="S16" i="8"/>
  <c r="AE13" i="1"/>
  <c r="AT13" i="1" s="1"/>
  <c r="AE39" i="1"/>
  <c r="AT39" i="1" s="1"/>
  <c r="I53" i="18"/>
  <c r="B53" i="20" s="1"/>
  <c r="AE24" i="1"/>
  <c r="AT24" i="1" s="1"/>
  <c r="AE45" i="1"/>
  <c r="AT45" i="1" s="1"/>
  <c r="M24" i="21"/>
  <c r="W22" i="20"/>
  <c r="V22" i="22"/>
  <c r="M13" i="21"/>
  <c r="V11" i="22"/>
  <c r="W11" i="20"/>
  <c r="M14" i="21"/>
  <c r="W12" i="20"/>
  <c r="V12" i="22"/>
  <c r="AE16" i="1"/>
  <c r="AT16" i="1" s="1"/>
  <c r="AE26" i="1"/>
  <c r="AT26" i="1" s="1"/>
  <c r="AE14" i="1"/>
  <c r="AT14" i="1" s="1"/>
  <c r="AE38" i="1"/>
  <c r="AT38" i="1" s="1"/>
  <c r="AE50" i="1"/>
  <c r="AT50" i="1" s="1"/>
  <c r="AE46" i="1"/>
  <c r="AT46" i="1" s="1"/>
  <c r="AE40" i="1"/>
  <c r="AT40" i="1" s="1"/>
  <c r="V14" i="22"/>
  <c r="W14" i="20"/>
  <c r="M16" i="21"/>
  <c r="I41" i="20" l="1"/>
  <c r="B41" i="22" s="1"/>
  <c r="I20" i="20"/>
  <c r="B20" i="22" s="1"/>
  <c r="I42" i="20"/>
  <c r="B42" i="22" s="1"/>
  <c r="I47" i="20"/>
  <c r="B47" i="22" s="1"/>
  <c r="I46" i="20"/>
  <c r="B46" i="22" s="1"/>
  <c r="I55" i="20"/>
  <c r="B55" i="22" s="1"/>
  <c r="M99" i="33"/>
  <c r="M98" i="33"/>
  <c r="M96" i="33"/>
  <c r="M97" i="33"/>
  <c r="M158" i="33"/>
  <c r="M27" i="23"/>
  <c r="V25" i="24"/>
  <c r="W25" i="22"/>
  <c r="M210" i="33"/>
  <c r="M211" i="33"/>
  <c r="M206" i="33"/>
  <c r="M207" i="33"/>
  <c r="M208" i="33"/>
  <c r="M213" i="33"/>
  <c r="M212" i="33"/>
  <c r="M209" i="33"/>
  <c r="M95" i="33"/>
  <c r="M94" i="33"/>
  <c r="M93" i="33"/>
  <c r="M92" i="33"/>
  <c r="J26" i="8" s="1"/>
  <c r="I26" i="8" s="1"/>
  <c r="W19" i="22"/>
  <c r="M21" i="23"/>
  <c r="V19" i="24"/>
  <c r="M159" i="33"/>
  <c r="M161" i="33"/>
  <c r="M160" i="33"/>
  <c r="M162" i="33"/>
  <c r="W17" i="22"/>
  <c r="M19" i="23"/>
  <c r="V17" i="24"/>
  <c r="M124" i="33"/>
  <c r="M118" i="33"/>
  <c r="M120" i="33"/>
  <c r="M123" i="33"/>
  <c r="M117" i="33"/>
  <c r="C29" i="8" s="1"/>
  <c r="M122" i="33"/>
  <c r="M116" i="33"/>
  <c r="M119" i="33"/>
  <c r="M115" i="33"/>
  <c r="C25" i="8" s="1"/>
  <c r="M121" i="33"/>
  <c r="M70" i="33"/>
  <c r="M66" i="33"/>
  <c r="M69" i="33"/>
  <c r="M67" i="33"/>
  <c r="M65" i="33"/>
  <c r="M68" i="33"/>
  <c r="M71" i="33"/>
  <c r="M28" i="23"/>
  <c r="V26" i="24"/>
  <c r="W26" i="22"/>
  <c r="M131" i="33"/>
  <c r="M133" i="33"/>
  <c r="M130" i="33"/>
  <c r="M132" i="33"/>
  <c r="M45" i="33"/>
  <c r="M39" i="33"/>
  <c r="M44" i="33"/>
  <c r="M42" i="33"/>
  <c r="M41" i="33"/>
  <c r="M40" i="33"/>
  <c r="M43" i="33"/>
  <c r="M46" i="33"/>
  <c r="I44" i="20"/>
  <c r="B44" i="22" s="1"/>
  <c r="M190" i="33"/>
  <c r="M184" i="33"/>
  <c r="M186" i="33"/>
  <c r="M189" i="33"/>
  <c r="M183" i="33"/>
  <c r="M187" i="33"/>
  <c r="M12" i="33" s="1"/>
  <c r="M181" i="33"/>
  <c r="M191" i="33"/>
  <c r="M185" i="33"/>
  <c r="M188" i="33"/>
  <c r="M182" i="33"/>
  <c r="M100" i="33"/>
  <c r="M102" i="33"/>
  <c r="M105" i="33"/>
  <c r="M104" i="33"/>
  <c r="M101" i="33"/>
  <c r="M103" i="33"/>
  <c r="M226" i="33"/>
  <c r="M10" i="33" s="1"/>
  <c r="M14" i="10" s="1"/>
  <c r="M227" i="33"/>
  <c r="M225" i="33"/>
  <c r="M153" i="33"/>
  <c r="M155" i="33"/>
  <c r="M149" i="33"/>
  <c r="M152" i="33"/>
  <c r="M157" i="33"/>
  <c r="M151" i="33"/>
  <c r="M154" i="33"/>
  <c r="M148" i="33"/>
  <c r="T12" i="8" s="1"/>
  <c r="S12" i="8" s="1"/>
  <c r="M156" i="33"/>
  <c r="M150" i="33"/>
  <c r="M88" i="33"/>
  <c r="M82" i="33"/>
  <c r="M90" i="33"/>
  <c r="M84" i="33"/>
  <c r="M87" i="33"/>
  <c r="M81" i="33"/>
  <c r="M85" i="33"/>
  <c r="M89" i="33"/>
  <c r="M83" i="33"/>
  <c r="M86" i="33"/>
  <c r="M9" i="33" s="1"/>
  <c r="M112" i="33"/>
  <c r="M106" i="33"/>
  <c r="M114" i="33"/>
  <c r="M108" i="33"/>
  <c r="M111" i="33"/>
  <c r="M110" i="33"/>
  <c r="M113" i="33"/>
  <c r="M107" i="33"/>
  <c r="C27" i="8" s="1"/>
  <c r="M109" i="33"/>
  <c r="M224" i="33"/>
  <c r="M26" i="33"/>
  <c r="M27" i="33"/>
  <c r="J19" i="8" s="1"/>
  <c r="I19" i="8" s="1"/>
  <c r="B19" i="10" s="1"/>
  <c r="M28" i="33"/>
  <c r="M16" i="23"/>
  <c r="W14" i="22"/>
  <c r="V14" i="24"/>
  <c r="M222" i="33"/>
  <c r="M216" i="33"/>
  <c r="C48" i="8" s="1"/>
  <c r="M223" i="33"/>
  <c r="M217" i="33"/>
  <c r="M16" i="33" s="1"/>
  <c r="G25" i="9" s="1"/>
  <c r="G26" i="9" s="1"/>
  <c r="M218" i="33"/>
  <c r="M220" i="33"/>
  <c r="M214" i="33"/>
  <c r="M221" i="33"/>
  <c r="M219" i="33"/>
  <c r="M215" i="33"/>
  <c r="J45" i="8" s="1"/>
  <c r="I45" i="8" s="1"/>
  <c r="B45" i="10" s="1"/>
  <c r="M240" i="33"/>
  <c r="M234" i="33"/>
  <c r="M235" i="33"/>
  <c r="M236" i="33"/>
  <c r="M238" i="33"/>
  <c r="M239" i="33"/>
  <c r="M237" i="33"/>
  <c r="M19" i="33" s="1"/>
  <c r="M171" i="33"/>
  <c r="M167" i="33"/>
  <c r="M15" i="8" s="1"/>
  <c r="M170" i="33"/>
  <c r="M13" i="33" s="1"/>
  <c r="O30" i="9" s="1"/>
  <c r="O31" i="9" s="1"/>
  <c r="M169" i="33"/>
  <c r="M172" i="33"/>
  <c r="M168" i="33"/>
  <c r="W11" i="22"/>
  <c r="M13" i="23"/>
  <c r="V11" i="24"/>
  <c r="W22" i="22"/>
  <c r="V22" i="24"/>
  <c r="M24" i="23"/>
  <c r="M26" i="23"/>
  <c r="V24" i="24"/>
  <c r="W24" i="22"/>
  <c r="M25" i="33"/>
  <c r="M64" i="33"/>
  <c r="M63" i="33"/>
  <c r="M61" i="33"/>
  <c r="M62" i="33"/>
  <c r="W18" i="22"/>
  <c r="M20" i="23"/>
  <c r="V18" i="24"/>
  <c r="M60" i="33"/>
  <c r="M59" i="33"/>
  <c r="M58" i="33"/>
  <c r="M228" i="33"/>
  <c r="M229" i="33"/>
  <c r="M230" i="33"/>
  <c r="M232" i="33"/>
  <c r="M233" i="33"/>
  <c r="M231" i="33"/>
  <c r="M51" i="33"/>
  <c r="C15" i="8" s="1"/>
  <c r="M56" i="33"/>
  <c r="M50" i="33"/>
  <c r="M55" i="33"/>
  <c r="M48" i="33"/>
  <c r="M47" i="33"/>
  <c r="M49" i="33"/>
  <c r="M54" i="33"/>
  <c r="M53" i="33"/>
  <c r="M52" i="33"/>
  <c r="M8" i="33" s="1"/>
  <c r="M178" i="33"/>
  <c r="M180" i="33"/>
  <c r="J34" i="8" s="1"/>
  <c r="I34" i="8" s="1"/>
  <c r="B34" i="10" s="1"/>
  <c r="M174" i="33"/>
  <c r="M177" i="33"/>
  <c r="M175" i="33"/>
  <c r="M179" i="33"/>
  <c r="M176" i="33"/>
  <c r="M173" i="33"/>
  <c r="M91" i="33"/>
  <c r="M125" i="33"/>
  <c r="M200" i="33"/>
  <c r="M201" i="33"/>
  <c r="C32" i="8" s="1"/>
  <c r="M202" i="33"/>
  <c r="M205" i="33"/>
  <c r="M204" i="33"/>
  <c r="M203" i="33"/>
  <c r="V15" i="24"/>
  <c r="W15" i="22"/>
  <c r="M17" i="23"/>
  <c r="M135" i="33"/>
  <c r="M137" i="33"/>
  <c r="M134" i="33"/>
  <c r="M139" i="33"/>
  <c r="J49" i="8" s="1"/>
  <c r="I49" i="8" s="1"/>
  <c r="B49" i="10" s="1"/>
  <c r="M136" i="33"/>
  <c r="M138" i="33"/>
  <c r="M196" i="33"/>
  <c r="M199" i="33"/>
  <c r="M197" i="33"/>
  <c r="M198" i="33"/>
  <c r="M57" i="33"/>
  <c r="W23" i="22"/>
  <c r="M25" i="23"/>
  <c r="V23" i="24"/>
  <c r="M22" i="23"/>
  <c r="W20" i="22"/>
  <c r="V20" i="24"/>
  <c r="M76" i="33"/>
  <c r="M78" i="33"/>
  <c r="M72" i="33"/>
  <c r="M75" i="33"/>
  <c r="M79" i="33"/>
  <c r="M73" i="33"/>
  <c r="M77" i="33"/>
  <c r="M80" i="33"/>
  <c r="M74" i="33"/>
  <c r="M194" i="33"/>
  <c r="M195" i="33"/>
  <c r="M193" i="33"/>
  <c r="M192" i="33"/>
  <c r="M129" i="33"/>
  <c r="M128" i="33"/>
  <c r="M127" i="33"/>
  <c r="C38" i="8" s="1"/>
  <c r="M126" i="33"/>
  <c r="J38" i="8" s="1"/>
  <c r="I38" i="8" s="1"/>
  <c r="M33" i="33"/>
  <c r="J15" i="8" s="1"/>
  <c r="I15" i="8" s="1"/>
  <c r="M38" i="33"/>
  <c r="M37" i="33"/>
  <c r="M36" i="33"/>
  <c r="M35" i="33"/>
  <c r="M34" i="33"/>
  <c r="V12" i="24"/>
  <c r="M14" i="23"/>
  <c r="W12" i="22"/>
  <c r="I53" i="20"/>
  <c r="B53" i="22" s="1"/>
  <c r="M32" i="33"/>
  <c r="M30" i="33"/>
  <c r="M31" i="33"/>
  <c r="J9" i="8" s="1"/>
  <c r="I9" i="8" s="1"/>
  <c r="M29" i="33"/>
  <c r="M147" i="33"/>
  <c r="M141" i="33"/>
  <c r="M143" i="33"/>
  <c r="M146" i="33"/>
  <c r="M140" i="33"/>
  <c r="M145" i="33"/>
  <c r="M142" i="33"/>
  <c r="M144" i="33"/>
  <c r="W21" i="22"/>
  <c r="V21" i="24"/>
  <c r="M23" i="23"/>
  <c r="M165" i="33"/>
  <c r="M164" i="33"/>
  <c r="M163" i="33"/>
  <c r="M166" i="33"/>
  <c r="W16" i="22"/>
  <c r="M18" i="23"/>
  <c r="V16" i="24"/>
  <c r="V13" i="24"/>
  <c r="M15" i="23"/>
  <c r="W13" i="22"/>
  <c r="I35" i="20"/>
  <c r="B35" i="22" s="1"/>
  <c r="I50" i="20"/>
  <c r="B50" i="22" s="1"/>
  <c r="I54" i="20"/>
  <c r="B54" i="22" s="1"/>
  <c r="M15" i="33" l="1"/>
  <c r="Q30" i="9" s="1"/>
  <c r="Q31" i="9" s="1"/>
  <c r="J51" i="8"/>
  <c r="I51" i="8" s="1"/>
  <c r="B51" i="10" s="1"/>
  <c r="J21" i="8"/>
  <c r="I21" i="8" s="1"/>
  <c r="B21" i="10" s="1"/>
  <c r="M13" i="8"/>
  <c r="L13" i="10" s="1"/>
  <c r="J16" i="8"/>
  <c r="I16" i="8" s="1"/>
  <c r="B16" i="10" s="1"/>
  <c r="J39" i="8"/>
  <c r="I39" i="8" s="1"/>
  <c r="B39" i="10" s="1"/>
  <c r="T17" i="8"/>
  <c r="S17" i="8" s="1"/>
  <c r="J13" i="8"/>
  <c r="I13" i="8" s="1"/>
  <c r="B13" i="10" s="1"/>
  <c r="M18" i="33"/>
  <c r="I25" i="9" s="1"/>
  <c r="I26" i="9" s="1"/>
  <c r="J48" i="8"/>
  <c r="I48" i="8" s="1"/>
  <c r="B48" i="10" s="1"/>
  <c r="J11" i="8"/>
  <c r="I11" i="8" s="1"/>
  <c r="M14" i="33"/>
  <c r="P30" i="9" s="1"/>
  <c r="P31" i="9" s="1"/>
  <c r="M7" i="33"/>
  <c r="N38" i="1" s="1"/>
  <c r="T13" i="8"/>
  <c r="S13" i="8" s="1"/>
  <c r="I47" i="22"/>
  <c r="B47" i="24" s="1"/>
  <c r="I55" i="22"/>
  <c r="B55" i="24" s="1"/>
  <c r="I54" i="22"/>
  <c r="B54" i="24" s="1"/>
  <c r="I53" i="22"/>
  <c r="B53" i="24" s="1"/>
  <c r="W24" i="24"/>
  <c r="V24" i="26"/>
  <c r="M26" i="25"/>
  <c r="M15" i="25"/>
  <c r="V13" i="26"/>
  <c r="W13" i="24"/>
  <c r="M14" i="25"/>
  <c r="W12" i="24"/>
  <c r="V12" i="26"/>
  <c r="J23" i="8"/>
  <c r="I23" i="8" s="1"/>
  <c r="M16" i="8"/>
  <c r="J22" i="8"/>
  <c r="I22" i="8" s="1"/>
  <c r="B22" i="10" s="1"/>
  <c r="M24" i="25"/>
  <c r="V22" i="26"/>
  <c r="W22" i="24"/>
  <c r="J31" i="8"/>
  <c r="I31" i="8" s="1"/>
  <c r="B31" i="10" s="1"/>
  <c r="I44" i="22"/>
  <c r="B44" i="24" s="1"/>
  <c r="C28" i="8"/>
  <c r="M11" i="8"/>
  <c r="I35" i="22"/>
  <c r="B35" i="24" s="1"/>
  <c r="W15" i="24"/>
  <c r="V15" i="26"/>
  <c r="M17" i="25"/>
  <c r="I50" i="22"/>
  <c r="B50" i="24" s="1"/>
  <c r="V16" i="26"/>
  <c r="M18" i="25"/>
  <c r="W16" i="24"/>
  <c r="M11" i="33"/>
  <c r="M17" i="8"/>
  <c r="J14" i="8"/>
  <c r="I14" i="8" s="1"/>
  <c r="B14" i="10" s="1"/>
  <c r="M16" i="25"/>
  <c r="W14" i="24"/>
  <c r="V14" i="26"/>
  <c r="C23" i="8"/>
  <c r="J32" i="8"/>
  <c r="I32" i="8" s="1"/>
  <c r="B32" i="10" s="1"/>
  <c r="M19" i="25"/>
  <c r="V17" i="26"/>
  <c r="W17" i="24"/>
  <c r="I42" i="22"/>
  <c r="B42" i="24" s="1"/>
  <c r="M25" i="25"/>
  <c r="V23" i="26"/>
  <c r="W23" i="24"/>
  <c r="J28" i="8"/>
  <c r="I28" i="8" s="1"/>
  <c r="M13" i="25"/>
  <c r="V11" i="26"/>
  <c r="W11" i="24"/>
  <c r="J12" i="8"/>
  <c r="I12" i="8" s="1"/>
  <c r="B12" i="10" s="1"/>
  <c r="M12" i="8"/>
  <c r="T11" i="8"/>
  <c r="S11" i="8" s="1"/>
  <c r="C26" i="8"/>
  <c r="I46" i="22"/>
  <c r="B46" i="24" s="1"/>
  <c r="I20" i="22"/>
  <c r="B20" i="24" s="1"/>
  <c r="L14" i="12"/>
  <c r="M17" i="33"/>
  <c r="H25" i="9" s="1"/>
  <c r="H26" i="9" s="1"/>
  <c r="M21" i="25"/>
  <c r="W19" i="24"/>
  <c r="V19" i="26"/>
  <c r="V25" i="26"/>
  <c r="W25" i="24"/>
  <c r="M27" i="25"/>
  <c r="J27" i="8"/>
  <c r="I27" i="8" s="1"/>
  <c r="B38" i="10"/>
  <c r="B15" i="10"/>
  <c r="V18" i="26"/>
  <c r="M20" i="25"/>
  <c r="W18" i="24"/>
  <c r="J29" i="8"/>
  <c r="I29" i="8" s="1"/>
  <c r="B29" i="10" s="1"/>
  <c r="L15" i="10"/>
  <c r="M28" i="25"/>
  <c r="V26" i="26"/>
  <c r="W26" i="24"/>
  <c r="B25" i="10"/>
  <c r="M18" i="8"/>
  <c r="J30" i="8"/>
  <c r="I30" i="8" s="1"/>
  <c r="B30" i="10" s="1"/>
  <c r="I41" i="22"/>
  <c r="B41" i="24" s="1"/>
  <c r="V21" i="26"/>
  <c r="M23" i="25"/>
  <c r="W21" i="24"/>
  <c r="J10" i="8"/>
  <c r="I10" i="8" s="1"/>
  <c r="B10" i="10" s="1"/>
  <c r="J36" i="8"/>
  <c r="I36" i="8" s="1"/>
  <c r="B36" i="10" s="1"/>
  <c r="M22" i="25"/>
  <c r="V20" i="26"/>
  <c r="W20" i="24"/>
  <c r="J8" i="8"/>
  <c r="I8" i="8" s="1"/>
  <c r="J40" i="8"/>
  <c r="I40" i="8" s="1"/>
  <c r="B40" i="10" s="1"/>
  <c r="C8" i="10"/>
  <c r="C10" i="10"/>
  <c r="C16" i="10"/>
  <c r="C12" i="10"/>
  <c r="C11" i="10"/>
  <c r="C17" i="10"/>
  <c r="B9" i="10"/>
  <c r="C9" i="10"/>
  <c r="C14" i="10"/>
  <c r="B11" i="10"/>
  <c r="B17" i="10"/>
  <c r="C13" i="10"/>
  <c r="J37" i="8"/>
  <c r="I37" i="8" s="1"/>
  <c r="B37" i="10" s="1"/>
  <c r="N48" i="1" l="1"/>
  <c r="N17" i="1"/>
  <c r="AF17" i="1" s="1"/>
  <c r="AU17" i="1" s="1"/>
  <c r="N44" i="1"/>
  <c r="AF44" i="1" s="1"/>
  <c r="AU44" i="1" s="1"/>
  <c r="N33" i="1"/>
  <c r="AF33" i="1" s="1"/>
  <c r="AU33" i="1" s="1"/>
  <c r="N14" i="1"/>
  <c r="AF14" i="1" s="1"/>
  <c r="AU14" i="1" s="1"/>
  <c r="N36" i="1"/>
  <c r="AF36" i="1" s="1"/>
  <c r="AU36" i="1" s="1"/>
  <c r="N40" i="1"/>
  <c r="AF40" i="1" s="1"/>
  <c r="AU40" i="1" s="1"/>
  <c r="N31" i="1"/>
  <c r="AF31" i="1" s="1"/>
  <c r="AU31" i="1" s="1"/>
  <c r="N43" i="1"/>
  <c r="AF43" i="1" s="1"/>
  <c r="AU43" i="1" s="1"/>
  <c r="N41" i="1"/>
  <c r="AF41" i="1" s="1"/>
  <c r="AU41" i="1" s="1"/>
  <c r="N11" i="1"/>
  <c r="N19" i="1"/>
  <c r="AF19" i="1" s="1"/>
  <c r="AU19" i="1" s="1"/>
  <c r="N34" i="1"/>
  <c r="AF34" i="1" s="1"/>
  <c r="AU34" i="1" s="1"/>
  <c r="N49" i="1"/>
  <c r="AF49" i="1" s="1"/>
  <c r="AU49" i="1" s="1"/>
  <c r="N23" i="1"/>
  <c r="AF23" i="1" s="1"/>
  <c r="AU23" i="1" s="1"/>
  <c r="N50" i="1"/>
  <c r="AF50" i="1" s="1"/>
  <c r="AU50" i="1" s="1"/>
  <c r="N18" i="1"/>
  <c r="AF18" i="1" s="1"/>
  <c r="AU18" i="1" s="1"/>
  <c r="N46" i="1"/>
  <c r="AF46" i="1" s="1"/>
  <c r="AU46" i="1" s="1"/>
  <c r="N15" i="1"/>
  <c r="AF15" i="1" s="1"/>
  <c r="AU15" i="1" s="1"/>
  <c r="N45" i="1"/>
  <c r="AF45" i="1" s="1"/>
  <c r="AU45" i="1" s="1"/>
  <c r="N29" i="1"/>
  <c r="AF29" i="1" s="1"/>
  <c r="AU29" i="1" s="1"/>
  <c r="N27" i="1"/>
  <c r="AF27" i="1" s="1"/>
  <c r="AU27" i="1" s="1"/>
  <c r="N21" i="1"/>
  <c r="AF21" i="1" s="1"/>
  <c r="AU21" i="1" s="1"/>
  <c r="N16" i="1"/>
  <c r="AF16" i="1" s="1"/>
  <c r="AU16" i="1" s="1"/>
  <c r="N25" i="1"/>
  <c r="AF25" i="1" s="1"/>
  <c r="AU25" i="1" s="1"/>
  <c r="N32" i="1"/>
  <c r="AF32" i="1" s="1"/>
  <c r="AU32" i="1" s="1"/>
  <c r="N28" i="1"/>
  <c r="AF28" i="1" s="1"/>
  <c r="AU28" i="1" s="1"/>
  <c r="N22" i="1"/>
  <c r="AF22" i="1" s="1"/>
  <c r="AU22" i="1" s="1"/>
  <c r="N30" i="1"/>
  <c r="AF30" i="1" s="1"/>
  <c r="AU30" i="1" s="1"/>
  <c r="N42" i="1"/>
  <c r="AF42" i="1" s="1"/>
  <c r="AU42" i="1" s="1"/>
  <c r="N35" i="1"/>
  <c r="AF35" i="1" s="1"/>
  <c r="AU35" i="1" s="1"/>
  <c r="N24" i="1"/>
  <c r="AF24" i="1" s="1"/>
  <c r="AU24" i="1" s="1"/>
  <c r="N26" i="1"/>
  <c r="AF26" i="1" s="1"/>
  <c r="AU26" i="1" s="1"/>
  <c r="N47" i="1"/>
  <c r="AF47" i="1" s="1"/>
  <c r="AU47" i="1" s="1"/>
  <c r="N37" i="1"/>
  <c r="AF37" i="1" s="1"/>
  <c r="AU37" i="1" s="1"/>
  <c r="N39" i="1"/>
  <c r="AF39" i="1" s="1"/>
  <c r="AU39" i="1" s="1"/>
  <c r="N12" i="1"/>
  <c r="AF12" i="1" s="1"/>
  <c r="AU12" i="1" s="1"/>
  <c r="N13" i="1"/>
  <c r="AF13" i="1" s="1"/>
  <c r="AU13" i="1" s="1"/>
  <c r="N20" i="1"/>
  <c r="AF20" i="1" s="1"/>
  <c r="AU20" i="1" s="1"/>
  <c r="N6" i="8"/>
  <c r="J6" i="9" s="1"/>
  <c r="J8" i="9" s="1"/>
  <c r="K8" i="9" s="1"/>
  <c r="J26" i="9"/>
  <c r="I42" i="24"/>
  <c r="B42" i="26" s="1"/>
  <c r="I44" i="24"/>
  <c r="B44" i="26" s="1"/>
  <c r="I20" i="24"/>
  <c r="B20" i="26" s="1"/>
  <c r="I55" i="24"/>
  <c r="B55" i="26" s="1"/>
  <c r="I47" i="24"/>
  <c r="B47" i="26" s="1"/>
  <c r="L18" i="10"/>
  <c r="S15" i="10"/>
  <c r="I17" i="10"/>
  <c r="W19" i="26"/>
  <c r="V19" i="28"/>
  <c r="M21" i="27"/>
  <c r="AF11" i="1"/>
  <c r="AU11" i="1" s="1"/>
  <c r="I46" i="24"/>
  <c r="B46" i="26" s="1"/>
  <c r="W17" i="26"/>
  <c r="V17" i="28"/>
  <c r="M19" i="27"/>
  <c r="M18" i="27"/>
  <c r="V16" i="28"/>
  <c r="W16" i="26"/>
  <c r="W22" i="26"/>
  <c r="M24" i="27"/>
  <c r="V22" i="28"/>
  <c r="M26" i="27"/>
  <c r="W24" i="26"/>
  <c r="V24" i="28"/>
  <c r="M22" i="27"/>
  <c r="W20" i="26"/>
  <c r="V20" i="28"/>
  <c r="I41" i="24"/>
  <c r="B41" i="26" s="1"/>
  <c r="V26" i="28"/>
  <c r="W26" i="26"/>
  <c r="M28" i="27"/>
  <c r="Q6" i="8"/>
  <c r="N6" i="9" s="1"/>
  <c r="N8" i="9" s="1"/>
  <c r="O8" i="9" s="1"/>
  <c r="B26" i="10"/>
  <c r="I35" i="24"/>
  <c r="B35" i="26" s="1"/>
  <c r="B27" i="10"/>
  <c r="I54" i="24"/>
  <c r="B54" i="26" s="1"/>
  <c r="AF48" i="1"/>
  <c r="AU48" i="1" s="1"/>
  <c r="U6" i="8"/>
  <c r="B6" i="9" s="1"/>
  <c r="B8" i="9" s="1"/>
  <c r="C8" i="9" s="1"/>
  <c r="W11" i="26"/>
  <c r="V11" i="28"/>
  <c r="M13" i="27"/>
  <c r="W23" i="26"/>
  <c r="V23" i="28"/>
  <c r="M25" i="27"/>
  <c r="L17" i="10"/>
  <c r="I50" i="24"/>
  <c r="B50" i="26" s="1"/>
  <c r="L11" i="10"/>
  <c r="K6" i="8"/>
  <c r="F6" i="9" s="1"/>
  <c r="F8" i="9" s="1"/>
  <c r="G8" i="9" s="1"/>
  <c r="B23" i="10"/>
  <c r="B28" i="10"/>
  <c r="L16" i="10"/>
  <c r="W13" i="26"/>
  <c r="M15" i="27"/>
  <c r="V13" i="28"/>
  <c r="W18" i="26"/>
  <c r="V18" i="28"/>
  <c r="M20" i="27"/>
  <c r="B8" i="10"/>
  <c r="I25" i="10"/>
  <c r="S14" i="12"/>
  <c r="M16" i="27"/>
  <c r="W14" i="26"/>
  <c r="V14" i="28"/>
  <c r="V15" i="28"/>
  <c r="M17" i="27"/>
  <c r="W15" i="26"/>
  <c r="I53" i="24"/>
  <c r="B53" i="26" s="1"/>
  <c r="W21" i="26"/>
  <c r="M23" i="27"/>
  <c r="V21" i="28"/>
  <c r="W25" i="26"/>
  <c r="V25" i="28"/>
  <c r="M27" i="27"/>
  <c r="AF38" i="1"/>
  <c r="AU38" i="1" s="1"/>
  <c r="L12" i="10"/>
  <c r="V12" i="28"/>
  <c r="M14" i="27"/>
  <c r="W12" i="26"/>
  <c r="I42" i="26" l="1"/>
  <c r="B42" i="28" s="1"/>
  <c r="I54" i="26"/>
  <c r="B54" i="28" s="1"/>
  <c r="I47" i="26"/>
  <c r="B47" i="28" s="1"/>
  <c r="I55" i="26"/>
  <c r="B55" i="28" s="1"/>
  <c r="I44" i="26"/>
  <c r="B44" i="28" s="1"/>
  <c r="I20" i="26"/>
  <c r="B20" i="28" s="1"/>
  <c r="N172" i="33"/>
  <c r="N168" i="33"/>
  <c r="N171" i="33"/>
  <c r="N169" i="33"/>
  <c r="N167" i="33"/>
  <c r="M15" i="10" s="1"/>
  <c r="N170" i="33"/>
  <c r="N13" i="33" s="1"/>
  <c r="O30" i="11" s="1"/>
  <c r="O31" i="11" s="1"/>
  <c r="N166" i="33"/>
  <c r="N165" i="33"/>
  <c r="N163" i="33"/>
  <c r="N164" i="33"/>
  <c r="N229" i="33"/>
  <c r="N230" i="33"/>
  <c r="N231" i="33"/>
  <c r="N232" i="33"/>
  <c r="N228" i="33"/>
  <c r="N233" i="33"/>
  <c r="N71" i="33"/>
  <c r="N65" i="33"/>
  <c r="N67" i="33"/>
  <c r="N70" i="33"/>
  <c r="N69" i="33"/>
  <c r="N68" i="33"/>
  <c r="N66" i="33"/>
  <c r="M27" i="29"/>
  <c r="W25" i="28"/>
  <c r="V25" i="30"/>
  <c r="N52" i="33"/>
  <c r="N8" i="33" s="1"/>
  <c r="N55" i="33"/>
  <c r="N51" i="33"/>
  <c r="C15" i="10" s="1"/>
  <c r="N48" i="33"/>
  <c r="N47" i="33"/>
  <c r="N49" i="33"/>
  <c r="N54" i="33"/>
  <c r="N53" i="33"/>
  <c r="N50" i="33"/>
  <c r="N56" i="33"/>
  <c r="N119" i="33"/>
  <c r="N121" i="33"/>
  <c r="N115" i="33"/>
  <c r="C25" i="10" s="1"/>
  <c r="N124" i="33"/>
  <c r="N118" i="33"/>
  <c r="N122" i="33"/>
  <c r="N120" i="33"/>
  <c r="N116" i="33"/>
  <c r="N117" i="33"/>
  <c r="C29" i="10" s="1"/>
  <c r="N123" i="33"/>
  <c r="N195" i="33"/>
  <c r="N194" i="33"/>
  <c r="N193" i="33"/>
  <c r="N225" i="33"/>
  <c r="N226" i="33"/>
  <c r="N10" i="33" s="1"/>
  <c r="M14" i="12" s="1"/>
  <c r="N227" i="33"/>
  <c r="N130" i="33"/>
  <c r="N132" i="33"/>
  <c r="N131" i="33"/>
  <c r="N133" i="33"/>
  <c r="V26" i="30"/>
  <c r="W26" i="28"/>
  <c r="M28" i="29"/>
  <c r="M26" i="29"/>
  <c r="W24" i="28"/>
  <c r="V24" i="30"/>
  <c r="M19" i="29"/>
  <c r="V17" i="30"/>
  <c r="W17" i="28"/>
  <c r="N192" i="33"/>
  <c r="V19" i="30"/>
  <c r="W19" i="28"/>
  <c r="M21" i="29"/>
  <c r="N26" i="33"/>
  <c r="N27" i="33"/>
  <c r="J19" i="10" s="1"/>
  <c r="I19" i="10" s="1"/>
  <c r="B19" i="12" s="1"/>
  <c r="N28" i="33"/>
  <c r="N142" i="33"/>
  <c r="N144" i="33"/>
  <c r="N147" i="33"/>
  <c r="N141" i="33"/>
  <c r="N143" i="33"/>
  <c r="N146" i="33"/>
  <c r="N140" i="33"/>
  <c r="N145" i="33"/>
  <c r="B41" i="28"/>
  <c r="I41" i="26"/>
  <c r="V12" i="30"/>
  <c r="M14" i="29"/>
  <c r="W12" i="28"/>
  <c r="S16" i="10"/>
  <c r="M13" i="29"/>
  <c r="W11" i="28"/>
  <c r="V11" i="30"/>
  <c r="N125" i="33"/>
  <c r="N201" i="33"/>
  <c r="C32" i="10" s="1"/>
  <c r="N202" i="33"/>
  <c r="N203" i="33"/>
  <c r="N200" i="33"/>
  <c r="N204" i="33"/>
  <c r="N205" i="33"/>
  <c r="N191" i="33"/>
  <c r="N185" i="33"/>
  <c r="N187" i="33"/>
  <c r="N12" i="33" s="1"/>
  <c r="N181" i="33"/>
  <c r="N190" i="33"/>
  <c r="N184" i="33"/>
  <c r="N189" i="33"/>
  <c r="N183" i="33"/>
  <c r="N186" i="33"/>
  <c r="N188" i="33"/>
  <c r="N182" i="33"/>
  <c r="I50" i="26"/>
  <c r="B50" i="28" s="1"/>
  <c r="N223" i="33"/>
  <c r="N217" i="33"/>
  <c r="N16" i="33" s="1"/>
  <c r="G25" i="11" s="1"/>
  <c r="G26" i="11" s="1"/>
  <c r="N218" i="33"/>
  <c r="N219" i="33"/>
  <c r="N220" i="33"/>
  <c r="N214" i="33"/>
  <c r="N222" i="33"/>
  <c r="N216" i="33"/>
  <c r="C48" i="10" s="1"/>
  <c r="N215" i="33"/>
  <c r="J45" i="10" s="1"/>
  <c r="I45" i="10" s="1"/>
  <c r="B45" i="12" s="1"/>
  <c r="N221" i="33"/>
  <c r="N179" i="33"/>
  <c r="N173" i="33"/>
  <c r="N175" i="33"/>
  <c r="N178" i="33"/>
  <c r="N177" i="33"/>
  <c r="N180" i="33"/>
  <c r="N176" i="33"/>
  <c r="N174" i="33"/>
  <c r="V15" i="30"/>
  <c r="M17" i="29"/>
  <c r="W15" i="28"/>
  <c r="N160" i="33"/>
  <c r="N162" i="33"/>
  <c r="N159" i="33"/>
  <c r="N161" i="33"/>
  <c r="N235" i="33"/>
  <c r="N236" i="33"/>
  <c r="N237" i="33"/>
  <c r="N19" i="33" s="1"/>
  <c r="N238" i="33"/>
  <c r="N240" i="33"/>
  <c r="N234" i="33"/>
  <c r="N239" i="33"/>
  <c r="N46" i="33"/>
  <c r="N40" i="33"/>
  <c r="N45" i="33"/>
  <c r="N39" i="33"/>
  <c r="N42" i="33"/>
  <c r="N41" i="33"/>
  <c r="N43" i="33"/>
  <c r="N44" i="33"/>
  <c r="N77" i="33"/>
  <c r="N79" i="33"/>
  <c r="N73" i="33"/>
  <c r="N76" i="33"/>
  <c r="N75" i="33"/>
  <c r="N80" i="33"/>
  <c r="N78" i="33"/>
  <c r="N74" i="33"/>
  <c r="N72" i="33"/>
  <c r="N58" i="33"/>
  <c r="N59" i="33"/>
  <c r="N60" i="33"/>
  <c r="V20" i="30"/>
  <c r="W20" i="28"/>
  <c r="M22" i="29"/>
  <c r="M24" i="29"/>
  <c r="V22" i="30"/>
  <c r="W22" i="28"/>
  <c r="M18" i="29"/>
  <c r="W16" i="28"/>
  <c r="V16" i="30"/>
  <c r="I46" i="26"/>
  <c r="B46" i="28" s="1"/>
  <c r="N94" i="33"/>
  <c r="N95" i="33"/>
  <c r="N93" i="33"/>
  <c r="C26" i="10" s="1"/>
  <c r="N92" i="33"/>
  <c r="J26" i="10" s="1"/>
  <c r="I26" i="10" s="1"/>
  <c r="N126" i="33"/>
  <c r="J38" i="10" s="1"/>
  <c r="I38" i="10" s="1"/>
  <c r="N129" i="33"/>
  <c r="N127" i="33"/>
  <c r="C38" i="10" s="1"/>
  <c r="N128" i="33"/>
  <c r="N25" i="33"/>
  <c r="S18" i="10"/>
  <c r="W14" i="28"/>
  <c r="V14" i="30"/>
  <c r="M16" i="29"/>
  <c r="N57" i="33"/>
  <c r="N136" i="33"/>
  <c r="N138" i="33"/>
  <c r="N135" i="33"/>
  <c r="N137" i="33"/>
  <c r="N134" i="33"/>
  <c r="N139" i="33"/>
  <c r="N196" i="33"/>
  <c r="N197" i="33"/>
  <c r="N199" i="33"/>
  <c r="N198" i="33"/>
  <c r="I35" i="26"/>
  <c r="B35" i="28" s="1"/>
  <c r="N97" i="33"/>
  <c r="N98" i="33"/>
  <c r="N96" i="33"/>
  <c r="N99" i="33"/>
  <c r="N91" i="33"/>
  <c r="N34" i="33"/>
  <c r="N33" i="33"/>
  <c r="N38" i="33"/>
  <c r="N36" i="33"/>
  <c r="N35" i="33"/>
  <c r="N37" i="33"/>
  <c r="N158" i="33"/>
  <c r="V21" i="30"/>
  <c r="M23" i="29"/>
  <c r="W21" i="28"/>
  <c r="N30" i="33"/>
  <c r="N31" i="33"/>
  <c r="J9" i="10" s="1"/>
  <c r="I9" i="10" s="1"/>
  <c r="N32" i="33"/>
  <c r="N29" i="33"/>
  <c r="J13" i="10" s="1"/>
  <c r="I13" i="10" s="1"/>
  <c r="I53" i="26"/>
  <c r="B53" i="28" s="1"/>
  <c r="N211" i="33"/>
  <c r="N212" i="33"/>
  <c r="N213" i="33"/>
  <c r="N207" i="33"/>
  <c r="N208" i="33"/>
  <c r="N209" i="33"/>
  <c r="N206" i="33"/>
  <c r="N210" i="33"/>
  <c r="N89" i="33"/>
  <c r="N83" i="33"/>
  <c r="N85" i="33"/>
  <c r="N88" i="33"/>
  <c r="N82" i="33"/>
  <c r="N87" i="33"/>
  <c r="N81" i="33"/>
  <c r="N90" i="33"/>
  <c r="N86" i="33"/>
  <c r="N9" i="33" s="1"/>
  <c r="N84" i="33"/>
  <c r="V18" i="30"/>
  <c r="M20" i="29"/>
  <c r="W18" i="28"/>
  <c r="W13" i="28"/>
  <c r="V13" i="30"/>
  <c r="M15" i="29"/>
  <c r="V23" i="30"/>
  <c r="W23" i="28"/>
  <c r="M25" i="29"/>
  <c r="N224" i="33"/>
  <c r="N7" i="33" s="1"/>
  <c r="N154" i="33"/>
  <c r="N148" i="33"/>
  <c r="T12" i="10" s="1"/>
  <c r="S12" i="10" s="1"/>
  <c r="N156" i="33"/>
  <c r="N150" i="33"/>
  <c r="N153" i="33"/>
  <c r="N157" i="33"/>
  <c r="N152" i="33"/>
  <c r="N151" i="33"/>
  <c r="N155" i="33"/>
  <c r="N149" i="33"/>
  <c r="T17" i="10" s="1"/>
  <c r="S17" i="10" s="1"/>
  <c r="N113" i="33"/>
  <c r="N107" i="33"/>
  <c r="C27" i="10" s="1"/>
  <c r="N109" i="33"/>
  <c r="N112" i="33"/>
  <c r="N106" i="33"/>
  <c r="N114" i="33"/>
  <c r="N110" i="33"/>
  <c r="N108" i="33"/>
  <c r="N111" i="33"/>
  <c r="N101" i="33"/>
  <c r="N103" i="33"/>
  <c r="N100" i="33"/>
  <c r="N104" i="33"/>
  <c r="N102" i="33"/>
  <c r="N105" i="33"/>
  <c r="N61" i="33"/>
  <c r="N64" i="33"/>
  <c r="N63" i="33"/>
  <c r="N62" i="33"/>
  <c r="J31" i="10" l="1"/>
  <c r="I31" i="10" s="1"/>
  <c r="B31" i="12" s="1"/>
  <c r="J49" i="10"/>
  <c r="I49" i="10" s="1"/>
  <c r="B49" i="12" s="1"/>
  <c r="J16" i="10"/>
  <c r="I16" i="10" s="1"/>
  <c r="J34" i="10"/>
  <c r="I34" i="10" s="1"/>
  <c r="B34" i="12" s="1"/>
  <c r="T11" i="10"/>
  <c r="S11" i="10" s="1"/>
  <c r="M11" i="10"/>
  <c r="L11" i="12" s="1"/>
  <c r="J37" i="10"/>
  <c r="I37" i="10" s="1"/>
  <c r="B37" i="12" s="1"/>
  <c r="M13" i="10"/>
  <c r="J11" i="10"/>
  <c r="I11" i="10" s="1"/>
  <c r="B11" i="12" s="1"/>
  <c r="N18" i="33"/>
  <c r="I25" i="11" s="1"/>
  <c r="I26" i="11" s="1"/>
  <c r="J15" i="10"/>
  <c r="I15" i="10" s="1"/>
  <c r="B15" i="12" s="1"/>
  <c r="T13" i="10"/>
  <c r="S13" i="10" s="1"/>
  <c r="N11" i="33"/>
  <c r="C23" i="10"/>
  <c r="J23" i="10"/>
  <c r="I23" i="10" s="1"/>
  <c r="J36" i="10"/>
  <c r="I36" i="10" s="1"/>
  <c r="B36" i="12" s="1"/>
  <c r="I20" i="28"/>
  <c r="B20" i="30" s="1"/>
  <c r="I53" i="28"/>
  <c r="B53" i="30" s="1"/>
  <c r="I42" i="28"/>
  <c r="B42" i="30" s="1"/>
  <c r="I47" i="28"/>
  <c r="B47" i="30" s="1"/>
  <c r="W23" i="30"/>
  <c r="V23" i="32"/>
  <c r="W23" i="32" s="1"/>
  <c r="M25" i="31"/>
  <c r="M20" i="31"/>
  <c r="W18" i="30"/>
  <c r="V18" i="32"/>
  <c r="W18" i="32" s="1"/>
  <c r="J30" i="10"/>
  <c r="I30" i="10" s="1"/>
  <c r="B30" i="12" s="1"/>
  <c r="J48" i="10"/>
  <c r="I48" i="10" s="1"/>
  <c r="B48" i="12" s="1"/>
  <c r="V15" i="32"/>
  <c r="W15" i="32" s="1"/>
  <c r="M17" i="31"/>
  <c r="W15" i="30"/>
  <c r="I50" i="28"/>
  <c r="B50" i="30" s="1"/>
  <c r="J51" i="10"/>
  <c r="I51" i="10" s="1"/>
  <c r="B51" i="12" s="1"/>
  <c r="V26" i="32"/>
  <c r="W26" i="32" s="1"/>
  <c r="M28" i="31"/>
  <c r="W26" i="30"/>
  <c r="B25" i="12"/>
  <c r="J22" i="10"/>
  <c r="I22" i="10" s="1"/>
  <c r="B22" i="12" s="1"/>
  <c r="M16" i="10"/>
  <c r="J21" i="10"/>
  <c r="I21" i="10" s="1"/>
  <c r="B21" i="12" s="1"/>
  <c r="J10" i="10"/>
  <c r="I10" i="10" s="1"/>
  <c r="B10" i="12" s="1"/>
  <c r="J39" i="10"/>
  <c r="I39" i="10" s="1"/>
  <c r="B39" i="12" s="1"/>
  <c r="B38" i="12"/>
  <c r="M22" i="31"/>
  <c r="W20" i="30"/>
  <c r="V20" i="32"/>
  <c r="W20" i="32" s="1"/>
  <c r="M17" i="10"/>
  <c r="M14" i="31"/>
  <c r="V12" i="32"/>
  <c r="W12" i="32" s="1"/>
  <c r="W12" i="30"/>
  <c r="W19" i="30"/>
  <c r="V19" i="32"/>
  <c r="W19" i="32" s="1"/>
  <c r="M21" i="31"/>
  <c r="V24" i="32"/>
  <c r="W24" i="32" s="1"/>
  <c r="M26" i="31"/>
  <c r="W24" i="30"/>
  <c r="B26" i="12"/>
  <c r="J28" i="10"/>
  <c r="I28" i="10" s="1"/>
  <c r="L13" i="12"/>
  <c r="O46" i="1"/>
  <c r="O45" i="1"/>
  <c r="O44" i="1"/>
  <c r="O28" i="1"/>
  <c r="O27" i="1"/>
  <c r="O26" i="1"/>
  <c r="O48" i="1"/>
  <c r="O47" i="1"/>
  <c r="O50" i="1"/>
  <c r="O34" i="1"/>
  <c r="O33" i="1"/>
  <c r="O32" i="1"/>
  <c r="O16" i="1"/>
  <c r="O15" i="1"/>
  <c r="O17" i="1"/>
  <c r="O14" i="1"/>
  <c r="O11" i="1"/>
  <c r="O37" i="1"/>
  <c r="O36" i="1"/>
  <c r="O35" i="1"/>
  <c r="O19" i="1"/>
  <c r="O18" i="1"/>
  <c r="O43" i="1"/>
  <c r="O42" i="1"/>
  <c r="O41" i="1"/>
  <c r="O25" i="1"/>
  <c r="O24" i="1"/>
  <c r="O23" i="1"/>
  <c r="O13" i="1"/>
  <c r="O49" i="1"/>
  <c r="O38" i="1"/>
  <c r="O31" i="1"/>
  <c r="O40" i="1"/>
  <c r="O21" i="1"/>
  <c r="O30" i="1"/>
  <c r="O39" i="1"/>
  <c r="O20" i="1"/>
  <c r="O12" i="1"/>
  <c r="O29" i="1"/>
  <c r="O22" i="1"/>
  <c r="J40" i="10"/>
  <c r="I40" i="10" s="1"/>
  <c r="B40" i="12" s="1"/>
  <c r="N17" i="33"/>
  <c r="H25" i="11" s="1"/>
  <c r="H26" i="11" s="1"/>
  <c r="J26" i="11" s="1"/>
  <c r="J12" i="10"/>
  <c r="I12" i="10" s="1"/>
  <c r="B12" i="12" s="1"/>
  <c r="J8" i="10"/>
  <c r="I8" i="10" s="1"/>
  <c r="M18" i="10"/>
  <c r="C28" i="10"/>
  <c r="J32" i="10"/>
  <c r="I32" i="10" s="1"/>
  <c r="B32" i="12" s="1"/>
  <c r="W21" i="30"/>
  <c r="V21" i="32"/>
  <c r="W21" i="32" s="1"/>
  <c r="M23" i="31"/>
  <c r="I35" i="28"/>
  <c r="B35" i="30" s="1"/>
  <c r="I46" i="28"/>
  <c r="B46" i="30" s="1"/>
  <c r="W22" i="30"/>
  <c r="V22" i="32"/>
  <c r="W22" i="32" s="1"/>
  <c r="M24" i="31"/>
  <c r="I41" i="28"/>
  <c r="B41" i="30" s="1"/>
  <c r="B23" i="12"/>
  <c r="M12" i="10"/>
  <c r="I44" i="28"/>
  <c r="B44" i="30" s="1"/>
  <c r="I54" i="28"/>
  <c r="B54" i="30" s="1"/>
  <c r="J29" i="10"/>
  <c r="I29" i="10" s="1"/>
  <c r="B29" i="12" s="1"/>
  <c r="J14" i="10"/>
  <c r="I14" i="10" s="1"/>
  <c r="B14" i="12" s="1"/>
  <c r="N15" i="33"/>
  <c r="Q30" i="11" s="1"/>
  <c r="Q31" i="11" s="1"/>
  <c r="C11" i="12"/>
  <c r="C9" i="12"/>
  <c r="B17" i="12"/>
  <c r="C12" i="12"/>
  <c r="B16" i="12"/>
  <c r="C10" i="12"/>
  <c r="B9" i="12"/>
  <c r="C17" i="12"/>
  <c r="C16" i="12"/>
  <c r="B13" i="12"/>
  <c r="C8" i="12"/>
  <c r="C14" i="12"/>
  <c r="C13" i="12"/>
  <c r="W11" i="30"/>
  <c r="V11" i="32"/>
  <c r="W11" i="32" s="1"/>
  <c r="M13" i="31"/>
  <c r="L14" i="14"/>
  <c r="V25" i="32"/>
  <c r="W25" i="32" s="1"/>
  <c r="M27" i="31"/>
  <c r="W25" i="30"/>
  <c r="I55" i="28"/>
  <c r="B55" i="30" s="1"/>
  <c r="V13" i="32"/>
  <c r="W13" i="32" s="1"/>
  <c r="M15" i="31"/>
  <c r="W13" i="30"/>
  <c r="J27" i="10"/>
  <c r="I27" i="10" s="1"/>
  <c r="B27" i="12" s="1"/>
  <c r="M16" i="31"/>
  <c r="W14" i="30"/>
  <c r="V14" i="32"/>
  <c r="W14" i="32" s="1"/>
  <c r="V16" i="32"/>
  <c r="W16" i="32" s="1"/>
  <c r="M18" i="31"/>
  <c r="W16" i="30"/>
  <c r="N14" i="33"/>
  <c r="P30" i="11" s="1"/>
  <c r="P31" i="11" s="1"/>
  <c r="W17" i="30"/>
  <c r="V17" i="32"/>
  <c r="W17" i="32" s="1"/>
  <c r="M19" i="31"/>
  <c r="L15" i="12"/>
  <c r="N6" i="10" l="1"/>
  <c r="J6" i="11" s="1"/>
  <c r="J8" i="11" s="1"/>
  <c r="K8" i="11" s="1"/>
  <c r="K6" i="10"/>
  <c r="F6" i="11" s="1"/>
  <c r="F8" i="11" s="1"/>
  <c r="G8" i="11" s="1"/>
  <c r="I46" i="30"/>
  <c r="B46" i="32" s="1"/>
  <c r="I46" i="32" s="1"/>
  <c r="I42" i="30"/>
  <c r="B42" i="32" s="1"/>
  <c r="I42" i="32" s="1"/>
  <c r="I44" i="30"/>
  <c r="B44" i="32" s="1"/>
  <c r="I44" i="32" s="1"/>
  <c r="L12" i="12"/>
  <c r="L18" i="12"/>
  <c r="Q6" i="10"/>
  <c r="N6" i="11" s="1"/>
  <c r="N8" i="11" s="1"/>
  <c r="O8" i="11" s="1"/>
  <c r="AG29" i="1"/>
  <c r="AV29" i="1" s="1"/>
  <c r="AG40" i="1"/>
  <c r="AV40" i="1" s="1"/>
  <c r="AG24" i="1"/>
  <c r="AV24" i="1" s="1"/>
  <c r="AG19" i="1"/>
  <c r="AV19" i="1" s="1"/>
  <c r="AG17" i="1"/>
  <c r="AV17" i="1" s="1"/>
  <c r="AG50" i="1"/>
  <c r="AV50" i="1" s="1"/>
  <c r="AG44" i="1"/>
  <c r="AV44" i="1" s="1"/>
  <c r="AG12" i="1"/>
  <c r="AV12" i="1" s="1"/>
  <c r="AG31" i="1"/>
  <c r="AV31" i="1" s="1"/>
  <c r="AG25" i="1"/>
  <c r="AV25" i="1" s="1"/>
  <c r="AG35" i="1"/>
  <c r="AV35" i="1" s="1"/>
  <c r="AG15" i="1"/>
  <c r="AV15" i="1" s="1"/>
  <c r="AG47" i="1"/>
  <c r="AV47" i="1" s="1"/>
  <c r="AG45" i="1"/>
  <c r="AV45" i="1" s="1"/>
  <c r="I25" i="12"/>
  <c r="I54" i="30"/>
  <c r="B54" i="32" s="1"/>
  <c r="I54" i="32" s="1"/>
  <c r="AG20" i="1"/>
  <c r="AV20" i="1" s="1"/>
  <c r="AG38" i="1"/>
  <c r="AV38" i="1" s="1"/>
  <c r="AG41" i="1"/>
  <c r="AV41" i="1" s="1"/>
  <c r="AG36" i="1"/>
  <c r="AV36" i="1" s="1"/>
  <c r="AG16" i="1"/>
  <c r="AV16" i="1" s="1"/>
  <c r="AG48" i="1"/>
  <c r="AV48" i="1" s="1"/>
  <c r="AG46" i="1"/>
  <c r="AV46" i="1" s="1"/>
  <c r="L17" i="12"/>
  <c r="S14" i="14"/>
  <c r="AG39" i="1"/>
  <c r="AV39" i="1" s="1"/>
  <c r="AG49" i="1"/>
  <c r="AV49" i="1" s="1"/>
  <c r="AG42" i="1"/>
  <c r="AV42" i="1" s="1"/>
  <c r="AG37" i="1"/>
  <c r="AV37" i="1" s="1"/>
  <c r="AG32" i="1"/>
  <c r="AV32" i="1" s="1"/>
  <c r="AG26" i="1"/>
  <c r="AV26" i="1" s="1"/>
  <c r="I53" i="30"/>
  <c r="B53" i="32" s="1"/>
  <c r="I53" i="32" s="1"/>
  <c r="B8" i="12"/>
  <c r="S15" i="12"/>
  <c r="U6" i="10"/>
  <c r="B6" i="11" s="1"/>
  <c r="B8" i="11" s="1"/>
  <c r="C8" i="11" s="1"/>
  <c r="I55" i="30"/>
  <c r="B55" i="32" s="1"/>
  <c r="I55" i="32" s="1"/>
  <c r="I17" i="12"/>
  <c r="I41" i="30"/>
  <c r="B41" i="32" s="1"/>
  <c r="I41" i="32" s="1"/>
  <c r="AG30" i="1"/>
  <c r="AV30" i="1" s="1"/>
  <c r="AG13" i="1"/>
  <c r="AV13" i="1" s="1"/>
  <c r="AG43" i="1"/>
  <c r="AV43" i="1" s="1"/>
  <c r="AG11" i="1"/>
  <c r="AV11" i="1" s="1"/>
  <c r="AG33" i="1"/>
  <c r="AV33" i="1" s="1"/>
  <c r="AG27" i="1"/>
  <c r="AV27" i="1" s="1"/>
  <c r="I50" i="30"/>
  <c r="B50" i="32" s="1"/>
  <c r="I50" i="32" s="1"/>
  <c r="I47" i="30"/>
  <c r="B47" i="32" s="1"/>
  <c r="I47" i="32" s="1"/>
  <c r="I20" i="30"/>
  <c r="B20" i="32" s="1"/>
  <c r="I20" i="32" s="1"/>
  <c r="I35" i="30"/>
  <c r="B35" i="32" s="1"/>
  <c r="I35" i="32" s="1"/>
  <c r="B28" i="12"/>
  <c r="AG22" i="1"/>
  <c r="AV22" i="1" s="1"/>
  <c r="AG21" i="1"/>
  <c r="AV21" i="1" s="1"/>
  <c r="AG23" i="1"/>
  <c r="AV23" i="1" s="1"/>
  <c r="AG18" i="1"/>
  <c r="AV18" i="1" s="1"/>
  <c r="AG14" i="1"/>
  <c r="AV14" i="1" s="1"/>
  <c r="AG34" i="1"/>
  <c r="AV34" i="1" s="1"/>
  <c r="AG28" i="1"/>
  <c r="AV28" i="1" s="1"/>
  <c r="L16" i="12"/>
  <c r="O196" i="33" l="1"/>
  <c r="O197" i="33"/>
  <c r="O198" i="33"/>
  <c r="O199" i="33"/>
  <c r="O195" i="33"/>
  <c r="O194" i="33"/>
  <c r="O193" i="33"/>
  <c r="O78" i="33"/>
  <c r="O72" i="33"/>
  <c r="O80" i="33"/>
  <c r="O74" i="33"/>
  <c r="O77" i="33"/>
  <c r="O76" i="33"/>
  <c r="O79" i="33"/>
  <c r="O75" i="33"/>
  <c r="O73" i="33"/>
  <c r="O114" i="33"/>
  <c r="O108" i="33"/>
  <c r="O110" i="33"/>
  <c r="O113" i="33"/>
  <c r="O107" i="33"/>
  <c r="C27" i="12" s="1"/>
  <c r="O112" i="33"/>
  <c r="O106" i="33"/>
  <c r="O111" i="33"/>
  <c r="O109" i="33"/>
  <c r="O143" i="33"/>
  <c r="O145" i="33"/>
  <c r="O142" i="33"/>
  <c r="O147" i="33"/>
  <c r="O144" i="33"/>
  <c r="O141" i="33"/>
  <c r="O140" i="33"/>
  <c r="O146" i="33"/>
  <c r="O25" i="33"/>
  <c r="O137" i="33"/>
  <c r="O139" i="33"/>
  <c r="O136" i="33"/>
  <c r="O138" i="33"/>
  <c r="O134" i="33"/>
  <c r="O135" i="33"/>
  <c r="O26" i="33"/>
  <c r="O27" i="33"/>
  <c r="J19" i="12" s="1"/>
  <c r="I19" i="12" s="1"/>
  <c r="B19" i="14" s="1"/>
  <c r="O28" i="33"/>
  <c r="O57" i="33"/>
  <c r="O30" i="33"/>
  <c r="O31" i="33"/>
  <c r="J9" i="12" s="1"/>
  <c r="I9" i="12" s="1"/>
  <c r="O32" i="33"/>
  <c r="O29" i="33"/>
  <c r="O180" i="33"/>
  <c r="O174" i="33"/>
  <c r="O176" i="33"/>
  <c r="O179" i="33"/>
  <c r="O173" i="33"/>
  <c r="O177" i="33"/>
  <c r="O175" i="33"/>
  <c r="O178" i="33"/>
  <c r="O66" i="33"/>
  <c r="O68" i="33"/>
  <c r="M12" i="12" s="1"/>
  <c r="L12" i="14" s="1"/>
  <c r="O71" i="33"/>
  <c r="O65" i="33"/>
  <c r="O70" i="33"/>
  <c r="O69" i="33"/>
  <c r="O67" i="33"/>
  <c r="O158" i="33"/>
  <c r="O131" i="33"/>
  <c r="O133" i="33"/>
  <c r="O130" i="33"/>
  <c r="O132" i="33"/>
  <c r="O62" i="33"/>
  <c r="O64" i="33"/>
  <c r="O63" i="33"/>
  <c r="O61" i="33"/>
  <c r="O125" i="33"/>
  <c r="O98" i="33"/>
  <c r="O96" i="33"/>
  <c r="O99" i="33"/>
  <c r="O97" i="33"/>
  <c r="S16" i="12"/>
  <c r="O155" i="33"/>
  <c r="O149" i="33"/>
  <c r="O157" i="33"/>
  <c r="O151" i="33"/>
  <c r="O154" i="33"/>
  <c r="O148" i="33"/>
  <c r="T12" i="12" s="1"/>
  <c r="S12" i="12" s="1"/>
  <c r="O153" i="33"/>
  <c r="O152" i="33"/>
  <c r="O150" i="33"/>
  <c r="O156" i="33"/>
  <c r="O35" i="33"/>
  <c r="O34" i="33"/>
  <c r="O36" i="33"/>
  <c r="O37" i="33"/>
  <c r="O33" i="33"/>
  <c r="O38" i="33"/>
  <c r="O59" i="33"/>
  <c r="O58" i="33"/>
  <c r="O60" i="33"/>
  <c r="O127" i="33"/>
  <c r="C38" i="12" s="1"/>
  <c r="O128" i="33"/>
  <c r="O126" i="33"/>
  <c r="O129" i="33"/>
  <c r="O167" i="33"/>
  <c r="M15" i="12" s="1"/>
  <c r="O169" i="33"/>
  <c r="O172" i="33"/>
  <c r="O171" i="33"/>
  <c r="O170" i="33"/>
  <c r="O13" i="33" s="1"/>
  <c r="O30" i="13" s="1"/>
  <c r="O31" i="13" s="1"/>
  <c r="O168" i="33"/>
  <c r="O41" i="33"/>
  <c r="O46" i="33"/>
  <c r="O40" i="33"/>
  <c r="O43" i="33"/>
  <c r="O39" i="33"/>
  <c r="O44" i="33"/>
  <c r="O45" i="33"/>
  <c r="O42" i="33"/>
  <c r="O202" i="33"/>
  <c r="O203" i="33"/>
  <c r="O204" i="33"/>
  <c r="O201" i="33"/>
  <c r="C32" i="12" s="1"/>
  <c r="O200" i="33"/>
  <c r="O205" i="33"/>
  <c r="O186" i="33"/>
  <c r="O188" i="33"/>
  <c r="O182" i="33"/>
  <c r="O191" i="33"/>
  <c r="O185" i="33"/>
  <c r="O189" i="33"/>
  <c r="O187" i="33"/>
  <c r="O12" i="33" s="1"/>
  <c r="O183" i="33"/>
  <c r="O181" i="33"/>
  <c r="O184" i="33"/>
  <c r="O190" i="33"/>
  <c r="S18" i="12"/>
  <c r="O91" i="33"/>
  <c r="O102" i="33"/>
  <c r="O104" i="33"/>
  <c r="O101" i="33"/>
  <c r="O100" i="33"/>
  <c r="O103" i="33"/>
  <c r="O105" i="33"/>
  <c r="O161" i="33"/>
  <c r="O160" i="33"/>
  <c r="O162" i="33"/>
  <c r="O159" i="33"/>
  <c r="O192" i="33"/>
  <c r="O120" i="33"/>
  <c r="O122" i="33"/>
  <c r="O116" i="33"/>
  <c r="O119" i="33"/>
  <c r="O124" i="33"/>
  <c r="O118" i="33"/>
  <c r="O115" i="33"/>
  <c r="C25" i="12" s="1"/>
  <c r="O123" i="33"/>
  <c r="O121" i="33"/>
  <c r="O117" i="33"/>
  <c r="C29" i="12" s="1"/>
  <c r="O163" i="33"/>
  <c r="O166" i="33"/>
  <c r="O165" i="33"/>
  <c r="O164" i="33"/>
  <c r="O218" i="33"/>
  <c r="O219" i="33"/>
  <c r="O220" i="33"/>
  <c r="O214" i="33"/>
  <c r="O222" i="33"/>
  <c r="O216" i="33"/>
  <c r="C48" i="12" s="1"/>
  <c r="O223" i="33"/>
  <c r="O217" i="33"/>
  <c r="O16" i="33" s="1"/>
  <c r="G25" i="13" s="1"/>
  <c r="G26" i="13" s="1"/>
  <c r="O215" i="33"/>
  <c r="J45" i="12" s="1"/>
  <c r="I45" i="12" s="1"/>
  <c r="B45" i="14" s="1"/>
  <c r="O221" i="33"/>
  <c r="O225" i="33"/>
  <c r="O226" i="33"/>
  <c r="O10" i="33" s="1"/>
  <c r="M14" i="14" s="1"/>
  <c r="O227" i="33"/>
  <c r="O224" i="33"/>
  <c r="O236" i="33"/>
  <c r="O237" i="33"/>
  <c r="O19" i="33" s="1"/>
  <c r="O238" i="33"/>
  <c r="O240" i="33"/>
  <c r="O234" i="33"/>
  <c r="O235" i="33"/>
  <c r="O239" i="33"/>
  <c r="O90" i="33"/>
  <c r="O84" i="33"/>
  <c r="O86" i="33"/>
  <c r="O9" i="33" s="1"/>
  <c r="O89" i="33"/>
  <c r="O83" i="33"/>
  <c r="O88" i="33"/>
  <c r="O82" i="33"/>
  <c r="O87" i="33"/>
  <c r="O85" i="33"/>
  <c r="O81" i="33"/>
  <c r="O230" i="33"/>
  <c r="O231" i="33"/>
  <c r="O232" i="33"/>
  <c r="O228" i="33"/>
  <c r="O229" i="33"/>
  <c r="O233" i="33"/>
  <c r="O53" i="33"/>
  <c r="O47" i="33"/>
  <c r="O56" i="33"/>
  <c r="O52" i="33"/>
  <c r="O8" i="33" s="1"/>
  <c r="O55" i="33"/>
  <c r="O48" i="33"/>
  <c r="O49" i="33"/>
  <c r="O54" i="33"/>
  <c r="O50" i="33"/>
  <c r="O51" i="33"/>
  <c r="C15" i="12" s="1"/>
  <c r="O212" i="33"/>
  <c r="O213" i="33"/>
  <c r="O208" i="33"/>
  <c r="O209" i="33"/>
  <c r="O210" i="33"/>
  <c r="O207" i="33"/>
  <c r="O211" i="33"/>
  <c r="O206" i="33"/>
  <c r="O95" i="33"/>
  <c r="O94" i="33"/>
  <c r="O92" i="33"/>
  <c r="J26" i="12" s="1"/>
  <c r="I26" i="12" s="1"/>
  <c r="O93" i="33"/>
  <c r="O15" i="33" l="1"/>
  <c r="Q30" i="13" s="1"/>
  <c r="Q31" i="13" s="1"/>
  <c r="C23" i="12"/>
  <c r="J22" i="12"/>
  <c r="I22" i="12" s="1"/>
  <c r="B22" i="14" s="1"/>
  <c r="J28" i="12"/>
  <c r="I28" i="12" s="1"/>
  <c r="T11" i="12"/>
  <c r="S11" i="12" s="1"/>
  <c r="B25" i="14"/>
  <c r="M18" i="12"/>
  <c r="M11" i="12"/>
  <c r="J31" i="12"/>
  <c r="I31" i="12" s="1"/>
  <c r="B31" i="14" s="1"/>
  <c r="C13" i="14"/>
  <c r="C12" i="14"/>
  <c r="B17" i="14"/>
  <c r="B9" i="14"/>
  <c r="C16" i="14"/>
  <c r="C14" i="14"/>
  <c r="C8" i="14"/>
  <c r="C10" i="14"/>
  <c r="C17" i="14"/>
  <c r="C11" i="14"/>
  <c r="C9" i="14"/>
  <c r="O17" i="33"/>
  <c r="H25" i="13" s="1"/>
  <c r="H26" i="13" s="1"/>
  <c r="J15" i="12"/>
  <c r="I15" i="12" s="1"/>
  <c r="J32" i="12"/>
  <c r="I32" i="12" s="1"/>
  <c r="B32" i="14" s="1"/>
  <c r="J23" i="12"/>
  <c r="I23" i="12" s="1"/>
  <c r="M16" i="12"/>
  <c r="O11" i="33"/>
  <c r="J48" i="12"/>
  <c r="I48" i="12" s="1"/>
  <c r="B48" i="14" s="1"/>
  <c r="B15" i="14"/>
  <c r="J10" i="12"/>
  <c r="I10" i="12" s="1"/>
  <c r="B10" i="14" s="1"/>
  <c r="J13" i="12"/>
  <c r="I13" i="12" s="1"/>
  <c r="B13" i="14" s="1"/>
  <c r="J39" i="12"/>
  <c r="I39" i="12" s="1"/>
  <c r="B39" i="14" s="1"/>
  <c r="J14" i="12"/>
  <c r="I14" i="12" s="1"/>
  <c r="B14" i="14" s="1"/>
  <c r="O18" i="33"/>
  <c r="I25" i="13" s="1"/>
  <c r="I26" i="13" s="1"/>
  <c r="M17" i="12"/>
  <c r="T13" i="12"/>
  <c r="S13" i="12" s="1"/>
  <c r="J40" i="12"/>
  <c r="I40" i="12" s="1"/>
  <c r="B40" i="14" s="1"/>
  <c r="L14" i="16"/>
  <c r="J12" i="12"/>
  <c r="I12" i="12" s="1"/>
  <c r="B12" i="14" s="1"/>
  <c r="T17" i="12"/>
  <c r="S17" i="12" s="1"/>
  <c r="C28" i="12"/>
  <c r="J8" i="12"/>
  <c r="I8" i="12" s="1"/>
  <c r="J51" i="12"/>
  <c r="I51" i="12" s="1"/>
  <c r="B51" i="14" s="1"/>
  <c r="J37" i="12"/>
  <c r="I37" i="12" s="1"/>
  <c r="B37" i="14" s="1"/>
  <c r="J38" i="12"/>
  <c r="I38" i="12" s="1"/>
  <c r="B38" i="14" s="1"/>
  <c r="J21" i="12"/>
  <c r="I21" i="12" s="1"/>
  <c r="B21" i="14" s="1"/>
  <c r="J27" i="12"/>
  <c r="I27" i="12" s="1"/>
  <c r="B27" i="14" s="1"/>
  <c r="J29" i="12"/>
  <c r="I29" i="12" s="1"/>
  <c r="B29" i="14" s="1"/>
  <c r="L15" i="14"/>
  <c r="J36" i="12"/>
  <c r="I36" i="12" s="1"/>
  <c r="B36" i="14" s="1"/>
  <c r="J16" i="12"/>
  <c r="I16" i="12" s="1"/>
  <c r="J30" i="12"/>
  <c r="I30" i="12" s="1"/>
  <c r="B30" i="14" s="1"/>
  <c r="J49" i="12"/>
  <c r="I49" i="12" s="1"/>
  <c r="B49" i="14" s="1"/>
  <c r="O14" i="33"/>
  <c r="P30" i="13" s="1"/>
  <c r="P31" i="13" s="1"/>
  <c r="C26" i="12"/>
  <c r="O7" i="33"/>
  <c r="J11" i="12"/>
  <c r="I11" i="12" s="1"/>
  <c r="B11" i="14" s="1"/>
  <c r="M13" i="12"/>
  <c r="J34" i="12"/>
  <c r="I34" i="12" s="1"/>
  <c r="B34" i="14" s="1"/>
  <c r="B23" i="14" l="1"/>
  <c r="Q6" i="12"/>
  <c r="N6" i="13" s="1"/>
  <c r="N8" i="13" s="1"/>
  <c r="O8" i="13" s="1"/>
  <c r="J26" i="13"/>
  <c r="N6" i="12"/>
  <c r="J6" i="13" s="1"/>
  <c r="J8" i="13" s="1"/>
  <c r="K8" i="13" s="1"/>
  <c r="B26" i="14"/>
  <c r="B16" i="14"/>
  <c r="U6" i="12"/>
  <c r="B6" i="13" s="1"/>
  <c r="B8" i="13" s="1"/>
  <c r="C8" i="13" s="1"/>
  <c r="K6" i="12"/>
  <c r="F6" i="13" s="1"/>
  <c r="F8" i="13" s="1"/>
  <c r="G8" i="13" s="1"/>
  <c r="B8" i="14"/>
  <c r="B28" i="14"/>
  <c r="L11" i="14"/>
  <c r="P49" i="1"/>
  <c r="P46" i="1"/>
  <c r="AH46" i="1" s="1"/>
  <c r="AW46" i="1" s="1"/>
  <c r="P43" i="1"/>
  <c r="P40" i="1"/>
  <c r="P37" i="1"/>
  <c r="P34" i="1"/>
  <c r="P31" i="1"/>
  <c r="P28" i="1"/>
  <c r="AH28" i="1" s="1"/>
  <c r="AW28" i="1" s="1"/>
  <c r="P25" i="1"/>
  <c r="P22" i="1"/>
  <c r="P19" i="1"/>
  <c r="P16" i="1"/>
  <c r="P48" i="1"/>
  <c r="P47" i="1"/>
  <c r="AH47" i="1" s="1"/>
  <c r="AW47" i="1" s="1"/>
  <c r="P224" i="33" s="1"/>
  <c r="P30" i="1"/>
  <c r="AH30" i="1" s="1"/>
  <c r="AW30" i="1" s="1"/>
  <c r="P29" i="1"/>
  <c r="P12" i="1"/>
  <c r="P50" i="1"/>
  <c r="P36" i="1"/>
  <c r="P35" i="1"/>
  <c r="P18" i="1"/>
  <c r="P17" i="1"/>
  <c r="P14" i="1"/>
  <c r="P11" i="1"/>
  <c r="P39" i="1"/>
  <c r="P38" i="1"/>
  <c r="P21" i="1"/>
  <c r="P20" i="1"/>
  <c r="P45" i="1"/>
  <c r="P44" i="1"/>
  <c r="P27" i="1"/>
  <c r="P26" i="1"/>
  <c r="P33" i="1"/>
  <c r="P42" i="1"/>
  <c r="P32" i="1"/>
  <c r="P13" i="1"/>
  <c r="P41" i="1"/>
  <c r="P24" i="1"/>
  <c r="P23" i="1"/>
  <c r="P15" i="1"/>
  <c r="S15" i="14"/>
  <c r="L16" i="14"/>
  <c r="L18" i="14"/>
  <c r="I17" i="14"/>
  <c r="I25" i="14"/>
  <c r="L13" i="14"/>
  <c r="S14" i="16"/>
  <c r="L17" i="14"/>
  <c r="AH23" i="1" l="1"/>
  <c r="AW23" i="1" s="1"/>
  <c r="P91" i="33" s="1"/>
  <c r="AH33" i="1"/>
  <c r="AW33" i="1" s="1"/>
  <c r="AH21" i="1"/>
  <c r="AW21" i="1" s="1"/>
  <c r="AH18" i="1"/>
  <c r="AW18" i="1" s="1"/>
  <c r="P126" i="33"/>
  <c r="P128" i="33"/>
  <c r="P129" i="33"/>
  <c r="P127" i="33"/>
  <c r="C38" i="14" s="1"/>
  <c r="AH25" i="1"/>
  <c r="AW25" i="1" s="1"/>
  <c r="AH43" i="1"/>
  <c r="AW43" i="1" s="1"/>
  <c r="AH24" i="1"/>
  <c r="AW24" i="1" s="1"/>
  <c r="AH38" i="1"/>
  <c r="AW38" i="1" s="1"/>
  <c r="P121" i="33"/>
  <c r="P115" i="33"/>
  <c r="C25" i="14" s="1"/>
  <c r="P123" i="33"/>
  <c r="P117" i="33"/>
  <c r="C29" i="14" s="1"/>
  <c r="P120" i="33"/>
  <c r="P124" i="33"/>
  <c r="P122" i="33"/>
  <c r="P118" i="33"/>
  <c r="P116" i="33"/>
  <c r="P119" i="33"/>
  <c r="AH41" i="1"/>
  <c r="AW41" i="1" s="1"/>
  <c r="AH48" i="1"/>
  <c r="AW48" i="1" s="1"/>
  <c r="AH31" i="1"/>
  <c r="AW31" i="1" s="1"/>
  <c r="AH49" i="1"/>
  <c r="AW49" i="1" s="1"/>
  <c r="AH35" i="1"/>
  <c r="AW35" i="1" s="1"/>
  <c r="P158" i="33" s="1"/>
  <c r="AH27" i="1"/>
  <c r="AW27" i="1" s="1"/>
  <c r="AH34" i="1"/>
  <c r="AW34" i="1" s="1"/>
  <c r="AH26" i="1"/>
  <c r="AW26" i="1" s="1"/>
  <c r="AH39" i="1"/>
  <c r="AW39" i="1" s="1"/>
  <c r="AH13" i="1"/>
  <c r="AW13" i="1" s="1"/>
  <c r="AH11" i="1"/>
  <c r="AW11" i="1" s="1"/>
  <c r="P25" i="33" s="1"/>
  <c r="AH50" i="1"/>
  <c r="AW50" i="1" s="1"/>
  <c r="AH16" i="1"/>
  <c r="AW16" i="1" s="1"/>
  <c r="AH32" i="1"/>
  <c r="AW32" i="1" s="1"/>
  <c r="AH45" i="1"/>
  <c r="AW45" i="1" s="1"/>
  <c r="AH14" i="1"/>
  <c r="AW14" i="1" s="1"/>
  <c r="AH12" i="1"/>
  <c r="AW12" i="1" s="1"/>
  <c r="AH19" i="1"/>
  <c r="AW19" i="1" s="1"/>
  <c r="AH37" i="1"/>
  <c r="AW37" i="1" s="1"/>
  <c r="P219" i="33"/>
  <c r="P220" i="33"/>
  <c r="P214" i="33"/>
  <c r="P221" i="33"/>
  <c r="P215" i="33"/>
  <c r="J45" i="14" s="1"/>
  <c r="I45" i="14" s="1"/>
  <c r="B45" i="16" s="1"/>
  <c r="P222" i="33"/>
  <c r="P216" i="33"/>
  <c r="C48" i="14" s="1"/>
  <c r="P218" i="33"/>
  <c r="P217" i="33"/>
  <c r="P16" i="33" s="1"/>
  <c r="G25" i="15" s="1"/>
  <c r="G26" i="15" s="1"/>
  <c r="P223" i="33"/>
  <c r="AH36" i="1"/>
  <c r="AW36" i="1" s="1"/>
  <c r="AH44" i="1"/>
  <c r="AW44" i="1" s="1"/>
  <c r="S18" i="14"/>
  <c r="S16" i="14"/>
  <c r="AH15" i="1"/>
  <c r="AW15" i="1" s="1"/>
  <c r="AH42" i="1"/>
  <c r="AW42" i="1" s="1"/>
  <c r="AH20" i="1"/>
  <c r="AW20" i="1" s="1"/>
  <c r="AH17" i="1"/>
  <c r="AW17" i="1" s="1"/>
  <c r="P57" i="33" s="1"/>
  <c r="AH29" i="1"/>
  <c r="AW29" i="1" s="1"/>
  <c r="P125" i="33" s="1"/>
  <c r="AH22" i="1"/>
  <c r="AW22" i="1" s="1"/>
  <c r="AH40" i="1"/>
  <c r="AW40" i="1" s="1"/>
  <c r="B25" i="16" l="1"/>
  <c r="P144" i="33"/>
  <c r="P146" i="33"/>
  <c r="P140" i="33"/>
  <c r="P143" i="33"/>
  <c r="P147" i="33"/>
  <c r="P145" i="33"/>
  <c r="P141" i="33"/>
  <c r="P142" i="33"/>
  <c r="P85" i="33"/>
  <c r="P87" i="33"/>
  <c r="P81" i="33"/>
  <c r="P90" i="33"/>
  <c r="P84" i="33"/>
  <c r="P89" i="33"/>
  <c r="P83" i="33"/>
  <c r="P88" i="33"/>
  <c r="P86" i="33"/>
  <c r="P9" i="33" s="1"/>
  <c r="P82" i="33"/>
  <c r="P203" i="33"/>
  <c r="P204" i="33"/>
  <c r="P205" i="33"/>
  <c r="P202" i="33"/>
  <c r="P201" i="33"/>
  <c r="C32" i="14" s="1"/>
  <c r="P200" i="33"/>
  <c r="P162" i="33"/>
  <c r="P161" i="33"/>
  <c r="P159" i="33"/>
  <c r="P160" i="33"/>
  <c r="P67" i="33"/>
  <c r="J23" i="14" s="1"/>
  <c r="I23" i="14" s="1"/>
  <c r="P69" i="33"/>
  <c r="P66" i="33"/>
  <c r="P71" i="33"/>
  <c r="P65" i="33"/>
  <c r="P68" i="33"/>
  <c r="P70" i="33"/>
  <c r="P61" i="33"/>
  <c r="P63" i="33"/>
  <c r="P62" i="33"/>
  <c r="P64" i="33"/>
  <c r="P27" i="33"/>
  <c r="J19" i="14" s="1"/>
  <c r="I19" i="14" s="1"/>
  <c r="B19" i="16" s="1"/>
  <c r="P28" i="33"/>
  <c r="P26" i="33"/>
  <c r="P30" i="33"/>
  <c r="P29" i="33"/>
  <c r="P31" i="33"/>
  <c r="J9" i="14" s="1"/>
  <c r="I9" i="14" s="1"/>
  <c r="P32" i="33"/>
  <c r="P156" i="33"/>
  <c r="P150" i="33"/>
  <c r="P152" i="33"/>
  <c r="P155" i="33"/>
  <c r="P149" i="33"/>
  <c r="P157" i="33"/>
  <c r="P153" i="33"/>
  <c r="P151" i="33"/>
  <c r="P148" i="33"/>
  <c r="T12" i="14" s="1"/>
  <c r="S12" i="14" s="1"/>
  <c r="P154" i="33"/>
  <c r="P187" i="33"/>
  <c r="P12" i="33" s="1"/>
  <c r="P181" i="33"/>
  <c r="P189" i="33"/>
  <c r="P183" i="33"/>
  <c r="P186" i="33"/>
  <c r="P191" i="33"/>
  <c r="P185" i="33"/>
  <c r="P190" i="33"/>
  <c r="P188" i="33"/>
  <c r="P184" i="33"/>
  <c r="P182" i="33"/>
  <c r="P42" i="33"/>
  <c r="P41" i="33"/>
  <c r="P44" i="33"/>
  <c r="P40" i="33"/>
  <c r="P45" i="33"/>
  <c r="P46" i="33"/>
  <c r="P43" i="33"/>
  <c r="P39" i="33"/>
  <c r="P138" i="33"/>
  <c r="P134" i="33"/>
  <c r="P137" i="33"/>
  <c r="P139" i="33"/>
  <c r="P135" i="33"/>
  <c r="P136" i="33"/>
  <c r="J36" i="14" s="1"/>
  <c r="I36" i="14" s="1"/>
  <c r="B36" i="16" s="1"/>
  <c r="P103" i="33"/>
  <c r="P105" i="33"/>
  <c r="P102" i="33"/>
  <c r="P104" i="33"/>
  <c r="P100" i="33"/>
  <c r="P101" i="33"/>
  <c r="P231" i="33"/>
  <c r="P232" i="33"/>
  <c r="P233" i="33"/>
  <c r="P228" i="33"/>
  <c r="P230" i="33"/>
  <c r="P229" i="33"/>
  <c r="P94" i="33"/>
  <c r="P93" i="33"/>
  <c r="C26" i="14" s="1"/>
  <c r="P95" i="33"/>
  <c r="P92" i="33"/>
  <c r="J26" i="14" s="1"/>
  <c r="I26" i="14" s="1"/>
  <c r="P97" i="33"/>
  <c r="P99" i="33"/>
  <c r="P96" i="33"/>
  <c r="P98" i="33"/>
  <c r="P79" i="33"/>
  <c r="P73" i="33"/>
  <c r="P75" i="33"/>
  <c r="P78" i="33"/>
  <c r="P72" i="33"/>
  <c r="T13" i="14" s="1"/>
  <c r="S13" i="14" s="1"/>
  <c r="P77" i="33"/>
  <c r="P80" i="33"/>
  <c r="P76" i="33"/>
  <c r="P74" i="33"/>
  <c r="P164" i="33"/>
  <c r="P165" i="33"/>
  <c r="P163" i="33"/>
  <c r="P166" i="33"/>
  <c r="P175" i="33"/>
  <c r="P177" i="33"/>
  <c r="P180" i="33"/>
  <c r="P174" i="33"/>
  <c r="P179" i="33"/>
  <c r="P173" i="33"/>
  <c r="P178" i="33"/>
  <c r="P176" i="33"/>
  <c r="P60" i="33"/>
  <c r="P59" i="33"/>
  <c r="P58" i="33"/>
  <c r="P36" i="33"/>
  <c r="P35" i="33"/>
  <c r="P37" i="33"/>
  <c r="P33" i="33"/>
  <c r="P38" i="33"/>
  <c r="P34" i="33"/>
  <c r="J21" i="14" s="1"/>
  <c r="I21" i="14" s="1"/>
  <c r="B21" i="16" s="1"/>
  <c r="P213" i="33"/>
  <c r="P209" i="33"/>
  <c r="P210" i="33"/>
  <c r="P211" i="33"/>
  <c r="P208" i="33"/>
  <c r="P212" i="33"/>
  <c r="P207" i="33"/>
  <c r="P206" i="33"/>
  <c r="P237" i="33"/>
  <c r="P19" i="33" s="1"/>
  <c r="P238" i="33"/>
  <c r="P239" i="33"/>
  <c r="P240" i="33"/>
  <c r="P234" i="33"/>
  <c r="P7" i="33" s="1"/>
  <c r="P236" i="33"/>
  <c r="P235" i="33"/>
  <c r="J14" i="14"/>
  <c r="I14" i="14" s="1"/>
  <c r="P225" i="33"/>
  <c r="P226" i="33"/>
  <c r="P10" i="33" s="1"/>
  <c r="M14" i="16" s="1"/>
  <c r="P227" i="33"/>
  <c r="P192" i="33"/>
  <c r="P197" i="33"/>
  <c r="P198" i="33"/>
  <c r="P199" i="33"/>
  <c r="P196" i="33"/>
  <c r="P193" i="33"/>
  <c r="P195" i="33"/>
  <c r="P194" i="33"/>
  <c r="P54" i="33"/>
  <c r="P48" i="33"/>
  <c r="P53" i="33"/>
  <c r="P47" i="33"/>
  <c r="P55" i="33"/>
  <c r="P49" i="33"/>
  <c r="P50" i="33"/>
  <c r="P51" i="33"/>
  <c r="C15" i="14" s="1"/>
  <c r="P56" i="33"/>
  <c r="P52" i="33"/>
  <c r="P8" i="33" s="1"/>
  <c r="P109" i="33"/>
  <c r="P111" i="33"/>
  <c r="P114" i="33"/>
  <c r="P108" i="33"/>
  <c r="P112" i="33"/>
  <c r="P110" i="33"/>
  <c r="P106" i="33"/>
  <c r="P113" i="33"/>
  <c r="P107" i="33"/>
  <c r="C27" i="14" s="1"/>
  <c r="P132" i="33"/>
  <c r="P131" i="33"/>
  <c r="J38" i="14" s="1"/>
  <c r="I38" i="14" s="1"/>
  <c r="B38" i="16" s="1"/>
  <c r="P133" i="33"/>
  <c r="P130" i="33"/>
  <c r="P168" i="33"/>
  <c r="P170" i="33"/>
  <c r="P13" i="33" s="1"/>
  <c r="O30" i="15" s="1"/>
  <c r="O31" i="15" s="1"/>
  <c r="P167" i="33"/>
  <c r="M15" i="14" s="1"/>
  <c r="P171" i="33"/>
  <c r="P169" i="33"/>
  <c r="P172" i="33"/>
  <c r="J11" i="14" l="1"/>
  <c r="I11" i="14" s="1"/>
  <c r="T17" i="14"/>
  <c r="S17" i="14" s="1"/>
  <c r="P18" i="33"/>
  <c r="I25" i="15" s="1"/>
  <c r="I26" i="15" s="1"/>
  <c r="J28" i="14"/>
  <c r="I28" i="14" s="1"/>
  <c r="P15" i="33"/>
  <c r="Q30" i="15" s="1"/>
  <c r="Q31" i="15" s="1"/>
  <c r="J37" i="14"/>
  <c r="I37" i="14" s="1"/>
  <c r="B37" i="16" s="1"/>
  <c r="T11" i="14"/>
  <c r="S11" i="14" s="1"/>
  <c r="J15" i="14"/>
  <c r="I15" i="14" s="1"/>
  <c r="B15" i="16" s="1"/>
  <c r="M16" i="14"/>
  <c r="L16" i="16" s="1"/>
  <c r="M18" i="14"/>
  <c r="L18" i="16" s="1"/>
  <c r="J22" i="14"/>
  <c r="I22" i="14" s="1"/>
  <c r="B22" i="16" s="1"/>
  <c r="L14" i="18"/>
  <c r="Q50" i="1"/>
  <c r="AI50" i="1" s="1"/>
  <c r="AX50" i="1" s="1"/>
  <c r="Q49" i="1"/>
  <c r="AI49" i="1" s="1"/>
  <c r="AX49" i="1" s="1"/>
  <c r="Q33" i="1"/>
  <c r="AI33" i="1" s="1"/>
  <c r="AX33" i="1" s="1"/>
  <c r="Q32" i="1"/>
  <c r="AI32" i="1" s="1"/>
  <c r="AX32" i="1" s="1"/>
  <c r="Q31" i="1"/>
  <c r="AI31" i="1" s="1"/>
  <c r="AX31" i="1" s="1"/>
  <c r="Q15" i="1"/>
  <c r="AI15" i="1" s="1"/>
  <c r="AX15" i="1" s="1"/>
  <c r="Q39" i="1"/>
  <c r="AI39" i="1" s="1"/>
  <c r="AX39" i="1" s="1"/>
  <c r="Q38" i="1"/>
  <c r="AI38" i="1" s="1"/>
  <c r="AX38" i="1" s="1"/>
  <c r="Q37" i="1"/>
  <c r="AI37" i="1" s="1"/>
  <c r="AX37" i="1" s="1"/>
  <c r="Q21" i="1"/>
  <c r="AI21" i="1" s="1"/>
  <c r="AX21" i="1" s="1"/>
  <c r="Q20" i="1"/>
  <c r="AI20" i="1" s="1"/>
  <c r="AX20" i="1" s="1"/>
  <c r="Q19" i="1"/>
  <c r="AI19" i="1" s="1"/>
  <c r="AX19" i="1" s="1"/>
  <c r="Q13" i="1"/>
  <c r="AI13" i="1" s="1"/>
  <c r="AX13" i="1" s="1"/>
  <c r="Q42" i="1"/>
  <c r="AI42" i="1" s="1"/>
  <c r="AX42" i="1" s="1"/>
  <c r="Q41" i="1"/>
  <c r="AI41" i="1" s="1"/>
  <c r="AX41" i="1" s="1"/>
  <c r="Q192" i="33" s="1"/>
  <c r="Q40" i="1"/>
  <c r="AI40" i="1" s="1"/>
  <c r="AX40" i="1" s="1"/>
  <c r="Q24" i="1"/>
  <c r="AI24" i="1" s="1"/>
  <c r="AX24" i="1" s="1"/>
  <c r="Q23" i="1"/>
  <c r="AI23" i="1" s="1"/>
  <c r="AX23" i="1" s="1"/>
  <c r="Q91" i="33" s="1"/>
  <c r="Q22" i="1"/>
  <c r="AI22" i="1" s="1"/>
  <c r="AX22" i="1" s="1"/>
  <c r="Q48" i="1"/>
  <c r="AI48" i="1" s="1"/>
  <c r="AX48" i="1" s="1"/>
  <c r="Q47" i="1"/>
  <c r="AI47" i="1" s="1"/>
  <c r="AX47" i="1" s="1"/>
  <c r="Q224" i="33" s="1"/>
  <c r="Q46" i="1"/>
  <c r="AI46" i="1" s="1"/>
  <c r="AX46" i="1" s="1"/>
  <c r="Q30" i="1"/>
  <c r="AI30" i="1" s="1"/>
  <c r="AX30" i="1" s="1"/>
  <c r="Q29" i="1"/>
  <c r="AI29" i="1" s="1"/>
  <c r="AX29" i="1" s="1"/>
  <c r="Q125" i="33" s="1"/>
  <c r="Q28" i="1"/>
  <c r="AI28" i="1" s="1"/>
  <c r="AX28" i="1" s="1"/>
  <c r="Q12" i="1"/>
  <c r="AI12" i="1" s="1"/>
  <c r="AX12" i="1" s="1"/>
  <c r="Q17" i="1"/>
  <c r="AI17" i="1" s="1"/>
  <c r="AX17" i="1" s="1"/>
  <c r="Q57" i="33" s="1"/>
  <c r="Q44" i="1"/>
  <c r="AI44" i="1" s="1"/>
  <c r="AX44" i="1" s="1"/>
  <c r="Q18" i="1"/>
  <c r="AI18" i="1" s="1"/>
  <c r="AX18" i="1" s="1"/>
  <c r="Q36" i="1"/>
  <c r="AI36" i="1" s="1"/>
  <c r="AX36" i="1" s="1"/>
  <c r="Q34" i="1"/>
  <c r="AI34" i="1" s="1"/>
  <c r="AX34" i="1" s="1"/>
  <c r="Q11" i="1"/>
  <c r="AI11" i="1" s="1"/>
  <c r="AX11" i="1" s="1"/>
  <c r="Q25" i="33" s="1"/>
  <c r="Q16" i="1"/>
  <c r="AI16" i="1" s="1"/>
  <c r="AX16" i="1" s="1"/>
  <c r="Q45" i="1"/>
  <c r="AI45" i="1" s="1"/>
  <c r="AX45" i="1" s="1"/>
  <c r="Q43" i="1"/>
  <c r="AI43" i="1" s="1"/>
  <c r="AX43" i="1" s="1"/>
  <c r="Q35" i="1"/>
  <c r="AI35" i="1" s="1"/>
  <c r="AX35" i="1" s="1"/>
  <c r="Q158" i="33" s="1"/>
  <c r="Q26" i="1"/>
  <c r="AI26" i="1" s="1"/>
  <c r="AX26" i="1" s="1"/>
  <c r="Q14" i="1"/>
  <c r="AI14" i="1" s="1"/>
  <c r="AX14" i="1" s="1"/>
  <c r="Q27" i="1"/>
  <c r="AI27" i="1" s="1"/>
  <c r="AX27" i="1" s="1"/>
  <c r="Q25" i="1"/>
  <c r="AI25" i="1" s="1"/>
  <c r="AX25" i="1" s="1"/>
  <c r="M17" i="14"/>
  <c r="J31" i="14"/>
  <c r="I31" i="14" s="1"/>
  <c r="B31" i="16" s="1"/>
  <c r="M12" i="14"/>
  <c r="M11" i="14"/>
  <c r="J48" i="14"/>
  <c r="I48" i="14" s="1"/>
  <c r="B48" i="16" s="1"/>
  <c r="J49" i="14"/>
  <c r="I49" i="14" s="1"/>
  <c r="B49" i="16" s="1"/>
  <c r="P17" i="33"/>
  <c r="H25" i="15" s="1"/>
  <c r="H26" i="15" s="1"/>
  <c r="J26" i="15" s="1"/>
  <c r="J13" i="14"/>
  <c r="I13" i="14" s="1"/>
  <c r="M13" i="14"/>
  <c r="J32" i="14"/>
  <c r="I32" i="14" s="1"/>
  <c r="B32" i="16" s="1"/>
  <c r="J40" i="14"/>
  <c r="I40" i="14" s="1"/>
  <c r="B40" i="16" s="1"/>
  <c r="J51" i="14"/>
  <c r="I51" i="14" s="1"/>
  <c r="B51" i="16" s="1"/>
  <c r="L15" i="16"/>
  <c r="P14" i="33"/>
  <c r="P30" i="15" s="1"/>
  <c r="P31" i="15" s="1"/>
  <c r="J12" i="14"/>
  <c r="I12" i="14" s="1"/>
  <c r="B12" i="16" s="1"/>
  <c r="J29" i="14"/>
  <c r="I29" i="14" s="1"/>
  <c r="B29" i="16" s="1"/>
  <c r="C28" i="14"/>
  <c r="P11" i="33"/>
  <c r="J10" i="14"/>
  <c r="I10" i="14" s="1"/>
  <c r="B10" i="16" s="1"/>
  <c r="J30" i="14"/>
  <c r="I30" i="14" s="1"/>
  <c r="B30" i="16" s="1"/>
  <c r="B26" i="16"/>
  <c r="J39" i="14"/>
  <c r="I39" i="14" s="1"/>
  <c r="B39" i="16" s="1"/>
  <c r="I25" i="16"/>
  <c r="C16" i="16"/>
  <c r="C17" i="16"/>
  <c r="C8" i="16"/>
  <c r="C9" i="16"/>
  <c r="C13" i="16"/>
  <c r="C11" i="16"/>
  <c r="C14" i="16"/>
  <c r="C12" i="16"/>
  <c r="B17" i="16"/>
  <c r="B9" i="16"/>
  <c r="B14" i="16"/>
  <c r="B11" i="16"/>
  <c r="B13" i="16"/>
  <c r="C10" i="16"/>
  <c r="J16" i="14"/>
  <c r="I16" i="14" s="1"/>
  <c r="B16" i="16" s="1"/>
  <c r="J34" i="14"/>
  <c r="I34" i="14" s="1"/>
  <c r="B34" i="16" s="1"/>
  <c r="J27" i="14"/>
  <c r="I27" i="14" s="1"/>
  <c r="B27" i="16" s="1"/>
  <c r="J8" i="14"/>
  <c r="I8" i="14" s="1"/>
  <c r="C23" i="14"/>
  <c r="S15" i="16" l="1"/>
  <c r="B23" i="16"/>
  <c r="Q6" i="14"/>
  <c r="N6" i="15" s="1"/>
  <c r="N8" i="15" s="1"/>
  <c r="O8" i="15" s="1"/>
  <c r="Q104" i="33"/>
  <c r="Q100" i="33"/>
  <c r="Q103" i="33"/>
  <c r="Q102" i="33"/>
  <c r="Q105" i="33"/>
  <c r="Q101" i="33"/>
  <c r="Q157" i="33"/>
  <c r="Q151" i="33"/>
  <c r="Q153" i="33"/>
  <c r="Q156" i="33"/>
  <c r="Q150" i="33"/>
  <c r="Q155" i="33"/>
  <c r="Q149" i="33"/>
  <c r="Q152" i="33"/>
  <c r="Q148" i="33"/>
  <c r="T12" i="16" s="1"/>
  <c r="Q154" i="33"/>
  <c r="Q122" i="33"/>
  <c r="Q116" i="33"/>
  <c r="Q124" i="33"/>
  <c r="Q118" i="33"/>
  <c r="Q121" i="33"/>
  <c r="Q115" i="33"/>
  <c r="C25" i="16" s="1"/>
  <c r="Q120" i="33"/>
  <c r="Q123" i="33"/>
  <c r="Q117" i="33"/>
  <c r="C29" i="16" s="1"/>
  <c r="Q119" i="33"/>
  <c r="Q86" i="33"/>
  <c r="Q9" i="33" s="1"/>
  <c r="Q88" i="33"/>
  <c r="Q82" i="33"/>
  <c r="Q85" i="33"/>
  <c r="Q90" i="33"/>
  <c r="Q84" i="33"/>
  <c r="Q89" i="33"/>
  <c r="Q83" i="33"/>
  <c r="Q87" i="33"/>
  <c r="Q81" i="33"/>
  <c r="Q31" i="33"/>
  <c r="J9" i="16" s="1"/>
  <c r="I9" i="16" s="1"/>
  <c r="Q30" i="33"/>
  <c r="Q32" i="33"/>
  <c r="Q29" i="33"/>
  <c r="Q176" i="33"/>
  <c r="Q178" i="33"/>
  <c r="Q175" i="33"/>
  <c r="Q180" i="33"/>
  <c r="Q174" i="33"/>
  <c r="Q179" i="33"/>
  <c r="Q173" i="33"/>
  <c r="Q177" i="33"/>
  <c r="Q238" i="33"/>
  <c r="Q239" i="33"/>
  <c r="Q240" i="33"/>
  <c r="Q234" i="33"/>
  <c r="Q236" i="33"/>
  <c r="Q235" i="33"/>
  <c r="Q237" i="33"/>
  <c r="Q19" i="33" s="1"/>
  <c r="S16" i="16"/>
  <c r="L13" i="16"/>
  <c r="L17" i="16"/>
  <c r="Q198" i="33"/>
  <c r="Q199" i="33"/>
  <c r="Q197" i="33"/>
  <c r="Q196" i="33"/>
  <c r="Q58" i="33"/>
  <c r="Q60" i="33"/>
  <c r="Q59" i="33"/>
  <c r="Q15" i="33" s="1"/>
  <c r="Q30" i="17" s="1"/>
  <c r="Q31" i="17" s="1"/>
  <c r="Q127" i="33"/>
  <c r="C38" i="16" s="1"/>
  <c r="Q129" i="33"/>
  <c r="Q126" i="33"/>
  <c r="Q128" i="33"/>
  <c r="Q92" i="33"/>
  <c r="J26" i="16" s="1"/>
  <c r="I26" i="16" s="1"/>
  <c r="Q93" i="33"/>
  <c r="Q94" i="33"/>
  <c r="Q95" i="33"/>
  <c r="Q68" i="33"/>
  <c r="Q70" i="33"/>
  <c r="Q67" i="33"/>
  <c r="Q71" i="33"/>
  <c r="Q65" i="33"/>
  <c r="Q66" i="33"/>
  <c r="C28" i="16" s="1"/>
  <c r="Q69" i="33"/>
  <c r="Q133" i="33"/>
  <c r="Q132" i="33"/>
  <c r="Q131" i="33"/>
  <c r="Q130" i="33"/>
  <c r="S18" i="16"/>
  <c r="Q159" i="33"/>
  <c r="Q162" i="33"/>
  <c r="Q161" i="33"/>
  <c r="Q160" i="33"/>
  <c r="Q62" i="33"/>
  <c r="Q64" i="33"/>
  <c r="Q61" i="33"/>
  <c r="Q63" i="33"/>
  <c r="Q43" i="33"/>
  <c r="Q42" i="33"/>
  <c r="Q45" i="33"/>
  <c r="Q46" i="33"/>
  <c r="Q39" i="33"/>
  <c r="Q44" i="33"/>
  <c r="Q41" i="33"/>
  <c r="Q40" i="33"/>
  <c r="S14" i="18"/>
  <c r="K6" i="14"/>
  <c r="F6" i="15" s="1"/>
  <c r="F8" i="15" s="1"/>
  <c r="G8" i="15" s="1"/>
  <c r="B8" i="16"/>
  <c r="N6" i="14"/>
  <c r="J6" i="15" s="1"/>
  <c r="J8" i="15" s="1"/>
  <c r="K8" i="15" s="1"/>
  <c r="B28" i="16"/>
  <c r="L11" i="16"/>
  <c r="Q98" i="33"/>
  <c r="Q97" i="33"/>
  <c r="Q96" i="33"/>
  <c r="Q99" i="33"/>
  <c r="Q209" i="33"/>
  <c r="Q210" i="33"/>
  <c r="Q211" i="33"/>
  <c r="Q212" i="33"/>
  <c r="Q206" i="33"/>
  <c r="Q213" i="33"/>
  <c r="Q208" i="33"/>
  <c r="Q207" i="33"/>
  <c r="Q204" i="33"/>
  <c r="Q205" i="33"/>
  <c r="Q200" i="33"/>
  <c r="Q203" i="33"/>
  <c r="Q202" i="33"/>
  <c r="Q201" i="33"/>
  <c r="C32" i="16" s="1"/>
  <c r="Q220" i="33"/>
  <c r="Q214" i="33"/>
  <c r="Q221" i="33"/>
  <c r="Q215" i="33"/>
  <c r="J45" i="16" s="1"/>
  <c r="I45" i="16" s="1"/>
  <c r="B45" i="18" s="1"/>
  <c r="Q222" i="33"/>
  <c r="Q216" i="33"/>
  <c r="C48" i="16" s="1"/>
  <c r="Q218" i="33"/>
  <c r="Q217" i="33"/>
  <c r="Q16" i="33" s="1"/>
  <c r="G25" i="17" s="1"/>
  <c r="G26" i="17" s="1"/>
  <c r="Q219" i="33"/>
  <c r="Q223" i="33"/>
  <c r="Q188" i="33"/>
  <c r="Q182" i="33"/>
  <c r="M11" i="16" s="1"/>
  <c r="Q190" i="33"/>
  <c r="Q184" i="33"/>
  <c r="Q187" i="33"/>
  <c r="Q12" i="33" s="1"/>
  <c r="C11" i="18" s="1"/>
  <c r="Q181" i="33"/>
  <c r="Q186" i="33"/>
  <c r="Q191" i="33"/>
  <c r="Q185" i="33"/>
  <c r="Q183" i="33"/>
  <c r="Q189" i="33"/>
  <c r="Q80" i="33"/>
  <c r="Q74" i="33"/>
  <c r="Q76" i="33"/>
  <c r="Q79" i="33"/>
  <c r="Q73" i="33"/>
  <c r="Q78" i="33"/>
  <c r="Q72" i="33"/>
  <c r="T13" i="16" s="1"/>
  <c r="Q77" i="33"/>
  <c r="Q75" i="33"/>
  <c r="Q139" i="33"/>
  <c r="Q135" i="33"/>
  <c r="Q138" i="33"/>
  <c r="Q137" i="33"/>
  <c r="Q134" i="33"/>
  <c r="Q136" i="33"/>
  <c r="I17" i="16"/>
  <c r="L12" i="16"/>
  <c r="Q110" i="33"/>
  <c r="Q112" i="33"/>
  <c r="Q106" i="33"/>
  <c r="Q109" i="33"/>
  <c r="Q114" i="33"/>
  <c r="Q108" i="33"/>
  <c r="Q111" i="33"/>
  <c r="Q113" i="33"/>
  <c r="Q107" i="33"/>
  <c r="C27" i="16" s="1"/>
  <c r="Q55" i="33"/>
  <c r="Q49" i="33"/>
  <c r="Q54" i="33"/>
  <c r="Q48" i="33"/>
  <c r="Q50" i="33"/>
  <c r="Q47" i="33"/>
  <c r="Q51" i="33"/>
  <c r="C15" i="16" s="1"/>
  <c r="Q56" i="33"/>
  <c r="Q53" i="33"/>
  <c r="Q52" i="33"/>
  <c r="Q8" i="33" s="1"/>
  <c r="Q7" i="33"/>
  <c r="Q163" i="33"/>
  <c r="Q165" i="33"/>
  <c r="Q164" i="33"/>
  <c r="Q166" i="33"/>
  <c r="Q145" i="33"/>
  <c r="Q147" i="33"/>
  <c r="Q141" i="33"/>
  <c r="Q144" i="33"/>
  <c r="Q143" i="33"/>
  <c r="Q146" i="33"/>
  <c r="Q140" i="33"/>
  <c r="Q142" i="33"/>
  <c r="U6" i="14"/>
  <c r="B6" i="15" s="1"/>
  <c r="B8" i="15" s="1"/>
  <c r="C8" i="15" s="1"/>
  <c r="Q37" i="33"/>
  <c r="Q36" i="33"/>
  <c r="Q33" i="33"/>
  <c r="Q38" i="33"/>
  <c r="Q35" i="33"/>
  <c r="Q34" i="33"/>
  <c r="Q28" i="33"/>
  <c r="Q26" i="33"/>
  <c r="Q27" i="33"/>
  <c r="J19" i="16" s="1"/>
  <c r="I19" i="16" s="1"/>
  <c r="B19" i="18" s="1"/>
  <c r="Q226" i="33"/>
  <c r="Q10" i="33" s="1"/>
  <c r="M14" i="18" s="1"/>
  <c r="L14" i="20" s="1"/>
  <c r="Q227" i="33"/>
  <c r="Q225" i="33"/>
  <c r="Q194" i="33"/>
  <c r="Q193" i="33"/>
  <c r="Q195" i="33"/>
  <c r="Q169" i="33"/>
  <c r="Q171" i="33"/>
  <c r="Q168" i="33"/>
  <c r="Q167" i="33"/>
  <c r="M15" i="16" s="1"/>
  <c r="Q170" i="33"/>
  <c r="Q13" i="33" s="1"/>
  <c r="O30" i="17" s="1"/>
  <c r="O31" i="17" s="1"/>
  <c r="Q172" i="33"/>
  <c r="Q232" i="33"/>
  <c r="Q233" i="33"/>
  <c r="Q228" i="33"/>
  <c r="Q230" i="33"/>
  <c r="Q231" i="33"/>
  <c r="Q229" i="33"/>
  <c r="J21" i="16" l="1"/>
  <c r="I21" i="16" s="1"/>
  <c r="B21" i="18" s="1"/>
  <c r="C26" i="16"/>
  <c r="B26" i="18" s="1"/>
  <c r="J23" i="16"/>
  <c r="M12" i="16"/>
  <c r="B17" i="18"/>
  <c r="I17" i="18" s="1"/>
  <c r="J49" i="16"/>
  <c r="I49" i="16" s="1"/>
  <c r="B49" i="18" s="1"/>
  <c r="J15" i="16"/>
  <c r="I15" i="16" s="1"/>
  <c r="M13" i="16"/>
  <c r="L13" i="18" s="1"/>
  <c r="J8" i="16"/>
  <c r="I8" i="16" s="1"/>
  <c r="B8" i="18" s="1"/>
  <c r="J10" i="16"/>
  <c r="I10" i="16" s="1"/>
  <c r="J22" i="16"/>
  <c r="I22" i="16" s="1"/>
  <c r="B22" i="18" s="1"/>
  <c r="M16" i="16"/>
  <c r="L16" i="18" s="1"/>
  <c r="J34" i="16"/>
  <c r="I34" i="16" s="1"/>
  <c r="B34" i="18" s="1"/>
  <c r="J14" i="16"/>
  <c r="I14" i="16" s="1"/>
  <c r="B14" i="18" s="1"/>
  <c r="Q18" i="33"/>
  <c r="I25" i="17" s="1"/>
  <c r="I26" i="17" s="1"/>
  <c r="M17" i="16"/>
  <c r="L17" i="18" s="1"/>
  <c r="C23" i="16"/>
  <c r="J27" i="16"/>
  <c r="I27" i="16" s="1"/>
  <c r="B27" i="18" s="1"/>
  <c r="T11" i="16"/>
  <c r="S11" i="16" s="1"/>
  <c r="J32" i="16"/>
  <c r="I32" i="16" s="1"/>
  <c r="B32" i="18" s="1"/>
  <c r="J40" i="16"/>
  <c r="I40" i="16" s="1"/>
  <c r="B40" i="18" s="1"/>
  <c r="Q11" i="33"/>
  <c r="J36" i="16"/>
  <c r="I36" i="16" s="1"/>
  <c r="B36" i="18" s="1"/>
  <c r="T17" i="16"/>
  <c r="S17" i="16" s="1"/>
  <c r="I23" i="16"/>
  <c r="S14" i="20"/>
  <c r="L11" i="18"/>
  <c r="J38" i="16"/>
  <c r="I38" i="16" s="1"/>
  <c r="B38" i="18" s="1"/>
  <c r="S13" i="16"/>
  <c r="C13" i="18"/>
  <c r="J31" i="16"/>
  <c r="I31" i="16" s="1"/>
  <c r="B31" i="18" s="1"/>
  <c r="C16" i="18"/>
  <c r="J12" i="16"/>
  <c r="I12" i="16" s="1"/>
  <c r="B12" i="18" s="1"/>
  <c r="J30" i="16"/>
  <c r="I30" i="16" s="1"/>
  <c r="B30" i="18" s="1"/>
  <c r="C9" i="18"/>
  <c r="J16" i="16"/>
  <c r="I16" i="16" s="1"/>
  <c r="B16" i="18" s="1"/>
  <c r="C17" i="18"/>
  <c r="B15" i="18"/>
  <c r="J11" i="16"/>
  <c r="I11" i="16" s="1"/>
  <c r="B11" i="18" s="1"/>
  <c r="C12" i="18"/>
  <c r="J51" i="16"/>
  <c r="I51" i="16" s="1"/>
  <c r="B51" i="18" s="1"/>
  <c r="R48" i="1"/>
  <c r="AJ48" i="1" s="1"/>
  <c r="AY48" i="1" s="1"/>
  <c r="R45" i="1"/>
  <c r="AJ45" i="1" s="1"/>
  <c r="AY45" i="1" s="1"/>
  <c r="R42" i="1"/>
  <c r="AJ42" i="1" s="1"/>
  <c r="AY42" i="1" s="1"/>
  <c r="R39" i="1"/>
  <c r="AJ39" i="1" s="1"/>
  <c r="AY39" i="1" s="1"/>
  <c r="R36" i="1"/>
  <c r="AJ36" i="1" s="1"/>
  <c r="AY36" i="1" s="1"/>
  <c r="R33" i="1"/>
  <c r="AJ33" i="1" s="1"/>
  <c r="AY33" i="1" s="1"/>
  <c r="R30" i="1"/>
  <c r="AJ30" i="1" s="1"/>
  <c r="AY30" i="1" s="1"/>
  <c r="R27" i="1"/>
  <c r="AJ27" i="1" s="1"/>
  <c r="AY27" i="1" s="1"/>
  <c r="R24" i="1"/>
  <c r="AJ24" i="1" s="1"/>
  <c r="AY24" i="1" s="1"/>
  <c r="R21" i="1"/>
  <c r="AJ21" i="1" s="1"/>
  <c r="AY21" i="1" s="1"/>
  <c r="R18" i="1"/>
  <c r="AJ18" i="1" s="1"/>
  <c r="AY18" i="1" s="1"/>
  <c r="R15" i="1"/>
  <c r="AJ15" i="1" s="1"/>
  <c r="AY15" i="1" s="1"/>
  <c r="R35" i="1"/>
  <c r="AJ35" i="1" s="1"/>
  <c r="AY35" i="1" s="1"/>
  <c r="R158" i="33" s="1"/>
  <c r="R34" i="1"/>
  <c r="AJ34" i="1" s="1"/>
  <c r="AY34" i="1" s="1"/>
  <c r="R17" i="1"/>
  <c r="AJ17" i="1" s="1"/>
  <c r="AY17" i="1" s="1"/>
  <c r="R57" i="33" s="1"/>
  <c r="R16" i="1"/>
  <c r="AJ16" i="1" s="1"/>
  <c r="AY16" i="1" s="1"/>
  <c r="R14" i="1"/>
  <c r="AJ14" i="1" s="1"/>
  <c r="AY14" i="1" s="1"/>
  <c r="R11" i="1"/>
  <c r="AJ11" i="1" s="1"/>
  <c r="AY11" i="1" s="1"/>
  <c r="R25" i="33" s="1"/>
  <c r="R38" i="1"/>
  <c r="AJ38" i="1" s="1"/>
  <c r="AY38" i="1" s="1"/>
  <c r="R41" i="1"/>
  <c r="AJ41" i="1" s="1"/>
  <c r="AY41" i="1" s="1"/>
  <c r="R192" i="33" s="1"/>
  <c r="R40" i="1"/>
  <c r="AJ40" i="1" s="1"/>
  <c r="AY40" i="1" s="1"/>
  <c r="R23" i="1"/>
  <c r="AJ23" i="1" s="1"/>
  <c r="AY23" i="1" s="1"/>
  <c r="R91" i="33" s="1"/>
  <c r="R22" i="1"/>
  <c r="AJ22" i="1" s="1"/>
  <c r="AY22" i="1" s="1"/>
  <c r="R13" i="1"/>
  <c r="AJ13" i="1" s="1"/>
  <c r="AY13" i="1" s="1"/>
  <c r="R44" i="1"/>
  <c r="AJ44" i="1" s="1"/>
  <c r="AY44" i="1" s="1"/>
  <c r="R43" i="1"/>
  <c r="AJ43" i="1" s="1"/>
  <c r="AY43" i="1" s="1"/>
  <c r="R26" i="1"/>
  <c r="AJ26" i="1" s="1"/>
  <c r="AY26" i="1" s="1"/>
  <c r="R25" i="1"/>
  <c r="AJ25" i="1" s="1"/>
  <c r="AY25" i="1" s="1"/>
  <c r="R50" i="1"/>
  <c r="AJ50" i="1" s="1"/>
  <c r="AY50" i="1" s="1"/>
  <c r="R49" i="1"/>
  <c r="AJ49" i="1" s="1"/>
  <c r="AY49" i="1" s="1"/>
  <c r="R32" i="1"/>
  <c r="AJ32" i="1" s="1"/>
  <c r="AY32" i="1" s="1"/>
  <c r="R31" i="1"/>
  <c r="AJ31" i="1" s="1"/>
  <c r="AY31" i="1" s="1"/>
  <c r="R37" i="1"/>
  <c r="AJ37" i="1" s="1"/>
  <c r="AY37" i="1" s="1"/>
  <c r="R28" i="1"/>
  <c r="AJ28" i="1" s="1"/>
  <c r="AY28" i="1" s="1"/>
  <c r="R47" i="1"/>
  <c r="AJ47" i="1" s="1"/>
  <c r="AY47" i="1" s="1"/>
  <c r="R224" i="33" s="1"/>
  <c r="R46" i="1"/>
  <c r="AJ46" i="1" s="1"/>
  <c r="AY46" i="1" s="1"/>
  <c r="R20" i="1"/>
  <c r="AJ20" i="1" s="1"/>
  <c r="AY20" i="1" s="1"/>
  <c r="R12" i="1"/>
  <c r="AJ12" i="1" s="1"/>
  <c r="AY12" i="1" s="1"/>
  <c r="R29" i="1"/>
  <c r="AJ29" i="1" s="1"/>
  <c r="AY29" i="1" s="1"/>
  <c r="R125" i="33" s="1"/>
  <c r="R19" i="1"/>
  <c r="AJ19" i="1" s="1"/>
  <c r="AY19" i="1" s="1"/>
  <c r="B10" i="18"/>
  <c r="J39" i="16"/>
  <c r="I39" i="16" s="1"/>
  <c r="B39" i="18" s="1"/>
  <c r="Q14" i="33"/>
  <c r="P30" i="17" s="1"/>
  <c r="P31" i="17" s="1"/>
  <c r="B9" i="18"/>
  <c r="J37" i="16"/>
  <c r="I37" i="16" s="1"/>
  <c r="B37" i="18" s="1"/>
  <c r="Q17" i="33"/>
  <c r="H25" i="17" s="1"/>
  <c r="H26" i="17" s="1"/>
  <c r="M18" i="16"/>
  <c r="C14" i="18"/>
  <c r="L12" i="18"/>
  <c r="S12" i="16"/>
  <c r="C10" i="18"/>
  <c r="J28" i="16"/>
  <c r="I28" i="16" s="1"/>
  <c r="B28" i="18" s="1"/>
  <c r="C8" i="18"/>
  <c r="J48" i="16"/>
  <c r="I48" i="16" s="1"/>
  <c r="B48" i="18" s="1"/>
  <c r="J29" i="16"/>
  <c r="I29" i="16" s="1"/>
  <c r="B29" i="18" s="1"/>
  <c r="J13" i="16"/>
  <c r="I13" i="16" s="1"/>
  <c r="B13" i="18" s="1"/>
  <c r="B25" i="18"/>
  <c r="L15" i="18"/>
  <c r="J26" i="17" l="1"/>
  <c r="B23" i="18"/>
  <c r="R239" i="33"/>
  <c r="R240" i="33"/>
  <c r="R234" i="33"/>
  <c r="R7" i="33" s="1"/>
  <c r="R235" i="33"/>
  <c r="R238" i="33"/>
  <c r="R236" i="33"/>
  <c r="R237" i="33"/>
  <c r="R19" i="33" s="1"/>
  <c r="R87" i="33"/>
  <c r="R81" i="33"/>
  <c r="R89" i="33"/>
  <c r="R83" i="33"/>
  <c r="R86" i="33"/>
  <c r="R9" i="33" s="1"/>
  <c r="R90" i="33"/>
  <c r="R88" i="33"/>
  <c r="R84" i="33"/>
  <c r="R82" i="33"/>
  <c r="R85" i="33"/>
  <c r="R38" i="33"/>
  <c r="R37" i="33"/>
  <c r="R33" i="33"/>
  <c r="R36" i="33"/>
  <c r="R35" i="33"/>
  <c r="R34" i="33"/>
  <c r="R59" i="33"/>
  <c r="R60" i="33"/>
  <c r="R58" i="33"/>
  <c r="R160" i="33"/>
  <c r="R162" i="33"/>
  <c r="R161" i="33"/>
  <c r="R159" i="33"/>
  <c r="R63" i="33"/>
  <c r="R62" i="33"/>
  <c r="R61" i="33"/>
  <c r="R64" i="33"/>
  <c r="R123" i="33"/>
  <c r="R117" i="33"/>
  <c r="C29" i="18" s="1"/>
  <c r="R119" i="33"/>
  <c r="R122" i="33"/>
  <c r="R116" i="33"/>
  <c r="R121" i="33"/>
  <c r="R115" i="33"/>
  <c r="C25" i="18" s="1"/>
  <c r="R124" i="33"/>
  <c r="R120" i="33"/>
  <c r="R118" i="33"/>
  <c r="R99" i="33"/>
  <c r="R98" i="33"/>
  <c r="R97" i="33"/>
  <c r="R96" i="33"/>
  <c r="R56" i="33"/>
  <c r="R50" i="33"/>
  <c r="R55" i="33"/>
  <c r="R49" i="33"/>
  <c r="R48" i="33"/>
  <c r="R47" i="33"/>
  <c r="R51" i="33"/>
  <c r="C15" i="18" s="1"/>
  <c r="R54" i="33"/>
  <c r="R53" i="33"/>
  <c r="R52" i="33"/>
  <c r="R8" i="33" s="1"/>
  <c r="R75" i="33"/>
  <c r="R77" i="33"/>
  <c r="R80" i="33"/>
  <c r="R74" i="33"/>
  <c r="R78" i="33"/>
  <c r="R76" i="33"/>
  <c r="R72" i="33"/>
  <c r="R73" i="33"/>
  <c r="R79" i="33"/>
  <c r="R177" i="33"/>
  <c r="R179" i="33"/>
  <c r="R173" i="33"/>
  <c r="R176" i="33"/>
  <c r="R180" i="33"/>
  <c r="R178" i="33"/>
  <c r="R175" i="33"/>
  <c r="R174" i="33"/>
  <c r="N6" i="16"/>
  <c r="J6" i="17" s="1"/>
  <c r="J8" i="17" s="1"/>
  <c r="K8" i="17" s="1"/>
  <c r="R105" i="33"/>
  <c r="R101" i="33"/>
  <c r="R104" i="33"/>
  <c r="R103" i="33"/>
  <c r="R102" i="33"/>
  <c r="R100" i="33"/>
  <c r="S15" i="18"/>
  <c r="R26" i="33"/>
  <c r="R27" i="33"/>
  <c r="J19" i="18" s="1"/>
  <c r="I19" i="18" s="1"/>
  <c r="B19" i="20" s="1"/>
  <c r="R28" i="33"/>
  <c r="R130" i="33"/>
  <c r="R133" i="33"/>
  <c r="R132" i="33"/>
  <c r="R131" i="33"/>
  <c r="R199" i="33"/>
  <c r="R198" i="33"/>
  <c r="R197" i="33"/>
  <c r="R196" i="33"/>
  <c r="R152" i="33"/>
  <c r="R154" i="33"/>
  <c r="R148" i="33"/>
  <c r="T12" i="18" s="1"/>
  <c r="S12" i="18" s="1"/>
  <c r="R157" i="33"/>
  <c r="R151" i="33"/>
  <c r="R156" i="33"/>
  <c r="R150" i="33"/>
  <c r="R155" i="33"/>
  <c r="R153" i="33"/>
  <c r="R149" i="33"/>
  <c r="R111" i="33"/>
  <c r="R113" i="33"/>
  <c r="R107" i="33"/>
  <c r="C27" i="18" s="1"/>
  <c r="R110" i="33"/>
  <c r="R109" i="33"/>
  <c r="R114" i="33"/>
  <c r="R112" i="33"/>
  <c r="R108" i="33"/>
  <c r="R106" i="33"/>
  <c r="R209" i="33"/>
  <c r="R210" i="33"/>
  <c r="R211" i="33"/>
  <c r="R212" i="33"/>
  <c r="R206" i="33"/>
  <c r="R207" i="33"/>
  <c r="R208" i="33"/>
  <c r="R213" i="33"/>
  <c r="R194" i="33"/>
  <c r="R195" i="33"/>
  <c r="R193" i="33"/>
  <c r="I25" i="18"/>
  <c r="K6" i="16"/>
  <c r="F6" i="17" s="1"/>
  <c r="F8" i="17" s="1"/>
  <c r="G8" i="17" s="1"/>
  <c r="S16" i="18"/>
  <c r="L18" i="18"/>
  <c r="R69" i="33"/>
  <c r="R71" i="33"/>
  <c r="R65" i="33"/>
  <c r="R68" i="33"/>
  <c r="R67" i="33"/>
  <c r="R70" i="33"/>
  <c r="R66" i="33"/>
  <c r="R134" i="33"/>
  <c r="R136" i="33"/>
  <c r="R139" i="33"/>
  <c r="R138" i="33"/>
  <c r="R137" i="33"/>
  <c r="R135" i="33"/>
  <c r="R205" i="33"/>
  <c r="R200" i="33"/>
  <c r="R201" i="33"/>
  <c r="C32" i="18" s="1"/>
  <c r="R204" i="33"/>
  <c r="R202" i="33"/>
  <c r="R203" i="33"/>
  <c r="R170" i="33"/>
  <c r="R13" i="33" s="1"/>
  <c r="O30" i="19" s="1"/>
  <c r="O31" i="19" s="1"/>
  <c r="R172" i="33"/>
  <c r="R169" i="33"/>
  <c r="R168" i="33"/>
  <c r="R171" i="33"/>
  <c r="R167" i="33"/>
  <c r="M15" i="18" s="1"/>
  <c r="L15" i="20" s="1"/>
  <c r="R128" i="33"/>
  <c r="R127" i="33"/>
  <c r="C38" i="18" s="1"/>
  <c r="R126" i="33"/>
  <c r="R129" i="33"/>
  <c r="R227" i="33"/>
  <c r="R226" i="33"/>
  <c r="R10" i="33" s="1"/>
  <c r="M14" i="20" s="1"/>
  <c r="R225" i="33"/>
  <c r="U6" i="16"/>
  <c r="B6" i="17" s="1"/>
  <c r="B8" i="17" s="1"/>
  <c r="C8" i="17" s="1"/>
  <c r="R164" i="33"/>
  <c r="R166" i="33"/>
  <c r="R163" i="33"/>
  <c r="R165" i="33"/>
  <c r="R189" i="33"/>
  <c r="R183" i="33"/>
  <c r="R191" i="33"/>
  <c r="R185" i="33"/>
  <c r="R188" i="33"/>
  <c r="R182" i="33"/>
  <c r="M11" i="18" s="1"/>
  <c r="L11" i="20" s="1"/>
  <c r="R190" i="33"/>
  <c r="R186" i="33"/>
  <c r="R184" i="33"/>
  <c r="R181" i="33"/>
  <c r="R187" i="33"/>
  <c r="R12" i="33" s="1"/>
  <c r="C10" i="20" s="1"/>
  <c r="R93" i="33"/>
  <c r="C26" i="18" s="1"/>
  <c r="R95" i="33"/>
  <c r="R92" i="33"/>
  <c r="J26" i="18" s="1"/>
  <c r="I26" i="18" s="1"/>
  <c r="R94" i="33"/>
  <c r="R221" i="33"/>
  <c r="R215" i="33"/>
  <c r="J45" i="18" s="1"/>
  <c r="I45" i="18" s="1"/>
  <c r="B45" i="20" s="1"/>
  <c r="R222" i="33"/>
  <c r="R216" i="33"/>
  <c r="C48" i="18" s="1"/>
  <c r="R223" i="33"/>
  <c r="R217" i="33"/>
  <c r="R16" i="33" s="1"/>
  <c r="G25" i="19" s="1"/>
  <c r="G26" i="19" s="1"/>
  <c r="R220" i="33"/>
  <c r="R218" i="33"/>
  <c r="R214" i="33"/>
  <c r="R219" i="33"/>
  <c r="R233" i="33"/>
  <c r="R228" i="33"/>
  <c r="R229" i="33"/>
  <c r="R232" i="33"/>
  <c r="R230" i="33"/>
  <c r="R231" i="33"/>
  <c r="R32" i="33"/>
  <c r="R31" i="33"/>
  <c r="J9" i="18" s="1"/>
  <c r="I9" i="18" s="1"/>
  <c r="R30" i="33"/>
  <c r="R29" i="33"/>
  <c r="J13" i="18" s="1"/>
  <c r="I13" i="18" s="1"/>
  <c r="R44" i="33"/>
  <c r="R43" i="33"/>
  <c r="R46" i="33"/>
  <c r="R39" i="33"/>
  <c r="R42" i="33"/>
  <c r="R41" i="33"/>
  <c r="J37" i="18" s="1"/>
  <c r="I37" i="18" s="1"/>
  <c r="B37" i="20" s="1"/>
  <c r="R40" i="33"/>
  <c r="R45" i="33"/>
  <c r="R146" i="33"/>
  <c r="R140" i="33"/>
  <c r="R142" i="33"/>
  <c r="R145" i="33"/>
  <c r="R144" i="33"/>
  <c r="R11" i="33" s="1"/>
  <c r="R147" i="33"/>
  <c r="R143" i="33"/>
  <c r="R141" i="33"/>
  <c r="Q6" i="16"/>
  <c r="N6" i="17" s="1"/>
  <c r="N8" i="17" s="1"/>
  <c r="O8" i="17" s="1"/>
  <c r="C13" i="20"/>
  <c r="C17" i="20" l="1"/>
  <c r="J51" i="18"/>
  <c r="I51" i="18" s="1"/>
  <c r="B51" i="20" s="1"/>
  <c r="C12" i="20"/>
  <c r="C8" i="20"/>
  <c r="J23" i="18"/>
  <c r="I23" i="18" s="1"/>
  <c r="J49" i="18"/>
  <c r="I49" i="18" s="1"/>
  <c r="B49" i="20" s="1"/>
  <c r="M13" i="18"/>
  <c r="C28" i="18"/>
  <c r="J22" i="18"/>
  <c r="I22" i="18" s="1"/>
  <c r="B22" i="20" s="1"/>
  <c r="B26" i="20"/>
  <c r="T13" i="18"/>
  <c r="S13" i="18" s="1"/>
  <c r="M17" i="18"/>
  <c r="L17" i="20" s="1"/>
  <c r="M18" i="18"/>
  <c r="L18" i="20" s="1"/>
  <c r="J39" i="18"/>
  <c r="I39" i="18" s="1"/>
  <c r="B39" i="20" s="1"/>
  <c r="M16" i="18"/>
  <c r="L16" i="20" s="1"/>
  <c r="S16" i="20" s="1"/>
  <c r="J14" i="18"/>
  <c r="I14" i="18" s="1"/>
  <c r="B14" i="20" s="1"/>
  <c r="M12" i="18"/>
  <c r="L12" i="20" s="1"/>
  <c r="J31" i="18"/>
  <c r="I31" i="18" s="1"/>
  <c r="B31" i="20" s="1"/>
  <c r="R14" i="33"/>
  <c r="P30" i="19" s="1"/>
  <c r="P31" i="19" s="1"/>
  <c r="S15" i="20"/>
  <c r="S38" i="1"/>
  <c r="AK38" i="1" s="1"/>
  <c r="AZ38" i="1" s="1"/>
  <c r="S37" i="1"/>
  <c r="AK37" i="1" s="1"/>
  <c r="AZ37" i="1" s="1"/>
  <c r="S36" i="1"/>
  <c r="AK36" i="1" s="1"/>
  <c r="AZ36" i="1" s="1"/>
  <c r="S20" i="1"/>
  <c r="AK20" i="1" s="1"/>
  <c r="AZ20" i="1" s="1"/>
  <c r="S19" i="1"/>
  <c r="AK19" i="1" s="1"/>
  <c r="AZ19" i="1" s="1"/>
  <c r="S18" i="1"/>
  <c r="AK18" i="1" s="1"/>
  <c r="AZ18" i="1" s="1"/>
  <c r="S40" i="1"/>
  <c r="AK40" i="1" s="1"/>
  <c r="AZ40" i="1" s="1"/>
  <c r="S39" i="1"/>
  <c r="AK39" i="1" s="1"/>
  <c r="AZ39" i="1" s="1"/>
  <c r="S44" i="1"/>
  <c r="AK44" i="1" s="1"/>
  <c r="AZ44" i="1" s="1"/>
  <c r="S43" i="1"/>
  <c r="AK43" i="1" s="1"/>
  <c r="AZ43" i="1" s="1"/>
  <c r="S42" i="1"/>
  <c r="AK42" i="1" s="1"/>
  <c r="AZ42" i="1" s="1"/>
  <c r="S26" i="1"/>
  <c r="AK26" i="1" s="1"/>
  <c r="AZ26" i="1" s="1"/>
  <c r="S25" i="1"/>
  <c r="AK25" i="1" s="1"/>
  <c r="AZ25" i="1" s="1"/>
  <c r="S24" i="1"/>
  <c r="AK24" i="1" s="1"/>
  <c r="AZ24" i="1" s="1"/>
  <c r="S12" i="1"/>
  <c r="AK12" i="1" s="1"/>
  <c r="AZ12" i="1" s="1"/>
  <c r="S47" i="1"/>
  <c r="AK47" i="1" s="1"/>
  <c r="AZ47" i="1" s="1"/>
  <c r="S224" i="33" s="1"/>
  <c r="S46" i="1"/>
  <c r="AK46" i="1" s="1"/>
  <c r="AZ46" i="1" s="1"/>
  <c r="S45" i="1"/>
  <c r="AK45" i="1" s="1"/>
  <c r="AZ45" i="1" s="1"/>
  <c r="S29" i="1"/>
  <c r="AK29" i="1" s="1"/>
  <c r="AZ29" i="1" s="1"/>
  <c r="S125" i="33" s="1"/>
  <c r="S28" i="1"/>
  <c r="AK28" i="1" s="1"/>
  <c r="AZ28" i="1" s="1"/>
  <c r="S27" i="1"/>
  <c r="AK27" i="1" s="1"/>
  <c r="AZ27" i="1" s="1"/>
  <c r="S35" i="1"/>
  <c r="AK35" i="1" s="1"/>
  <c r="AZ35" i="1" s="1"/>
  <c r="S158" i="33" s="1"/>
  <c r="S34" i="1"/>
  <c r="AK34" i="1" s="1"/>
  <c r="AZ34" i="1" s="1"/>
  <c r="S33" i="1"/>
  <c r="AK33" i="1" s="1"/>
  <c r="AZ33" i="1" s="1"/>
  <c r="S17" i="1"/>
  <c r="AK17" i="1" s="1"/>
  <c r="AZ17" i="1" s="1"/>
  <c r="S57" i="33" s="1"/>
  <c r="S16" i="1"/>
  <c r="AK16" i="1" s="1"/>
  <c r="AZ16" i="1" s="1"/>
  <c r="S15" i="1"/>
  <c r="AK15" i="1" s="1"/>
  <c r="AZ15" i="1" s="1"/>
  <c r="S14" i="1"/>
  <c r="AK14" i="1" s="1"/>
  <c r="AZ14" i="1" s="1"/>
  <c r="S11" i="1"/>
  <c r="AK11" i="1" s="1"/>
  <c r="AZ11" i="1" s="1"/>
  <c r="S25" i="33" s="1"/>
  <c r="S41" i="1"/>
  <c r="AK41" i="1" s="1"/>
  <c r="AZ41" i="1" s="1"/>
  <c r="S192" i="33" s="1"/>
  <c r="S23" i="1"/>
  <c r="AK23" i="1" s="1"/>
  <c r="AZ23" i="1" s="1"/>
  <c r="S91" i="33" s="1"/>
  <c r="S21" i="1"/>
  <c r="AK21" i="1" s="1"/>
  <c r="AZ21" i="1" s="1"/>
  <c r="S50" i="1"/>
  <c r="AK50" i="1" s="1"/>
  <c r="AZ50" i="1" s="1"/>
  <c r="S48" i="1"/>
  <c r="AK48" i="1" s="1"/>
  <c r="AZ48" i="1" s="1"/>
  <c r="S13" i="1"/>
  <c r="AK13" i="1" s="1"/>
  <c r="AZ13" i="1" s="1"/>
  <c r="S22" i="1"/>
  <c r="AK22" i="1" s="1"/>
  <c r="AZ22" i="1" s="1"/>
  <c r="S49" i="1"/>
  <c r="AK49" i="1" s="1"/>
  <c r="AZ49" i="1" s="1"/>
  <c r="S31" i="1"/>
  <c r="AK31" i="1" s="1"/>
  <c r="AZ31" i="1" s="1"/>
  <c r="S32" i="1"/>
  <c r="AK32" i="1" s="1"/>
  <c r="AZ32" i="1" s="1"/>
  <c r="S30" i="1"/>
  <c r="AK30" i="1" s="1"/>
  <c r="AZ30" i="1" s="1"/>
  <c r="L13" i="20"/>
  <c r="L14" i="22"/>
  <c r="J36" i="18"/>
  <c r="I36" i="18" s="1"/>
  <c r="B36" i="20" s="1"/>
  <c r="J32" i="18"/>
  <c r="I32" i="18" s="1"/>
  <c r="B32" i="20" s="1"/>
  <c r="T17" i="18"/>
  <c r="S17" i="18" s="1"/>
  <c r="J8" i="18"/>
  <c r="I8" i="18" s="1"/>
  <c r="C9" i="20"/>
  <c r="J34" i="18"/>
  <c r="I34" i="18" s="1"/>
  <c r="B34" i="20" s="1"/>
  <c r="J27" i="18"/>
  <c r="I27" i="18" s="1"/>
  <c r="B27" i="20" s="1"/>
  <c r="B9" i="20"/>
  <c r="J21" i="18"/>
  <c r="I21" i="18" s="1"/>
  <c r="B21" i="20" s="1"/>
  <c r="B13" i="20"/>
  <c r="J16" i="18"/>
  <c r="I16" i="18" s="1"/>
  <c r="J40" i="18"/>
  <c r="I40" i="18" s="1"/>
  <c r="B40" i="20" s="1"/>
  <c r="J12" i="18"/>
  <c r="I12" i="18" s="1"/>
  <c r="B12" i="20" s="1"/>
  <c r="J30" i="18"/>
  <c r="I30" i="18" s="1"/>
  <c r="B30" i="20" s="1"/>
  <c r="C23" i="18"/>
  <c r="R17" i="33"/>
  <c r="H25" i="19" s="1"/>
  <c r="H26" i="19" s="1"/>
  <c r="C11" i="20"/>
  <c r="B17" i="20"/>
  <c r="C16" i="20"/>
  <c r="C14" i="20"/>
  <c r="J15" i="18"/>
  <c r="I15" i="18" s="1"/>
  <c r="B15" i="20" s="1"/>
  <c r="J38" i="18"/>
  <c r="I38" i="18" s="1"/>
  <c r="B38" i="20" s="1"/>
  <c r="S18" i="18"/>
  <c r="B25" i="20"/>
  <c r="J28" i="18"/>
  <c r="I28" i="18" s="1"/>
  <c r="B28" i="20" s="1"/>
  <c r="J10" i="18"/>
  <c r="I10" i="18" s="1"/>
  <c r="B10" i="20" s="1"/>
  <c r="R18" i="33"/>
  <c r="I25" i="19" s="1"/>
  <c r="I26" i="19" s="1"/>
  <c r="J48" i="18"/>
  <c r="I48" i="18" s="1"/>
  <c r="B48" i="20" s="1"/>
  <c r="J29" i="18"/>
  <c r="I29" i="18" s="1"/>
  <c r="B29" i="20" s="1"/>
  <c r="T11" i="18"/>
  <c r="S11" i="18" s="1"/>
  <c r="R15" i="33"/>
  <c r="Q30" i="19" s="1"/>
  <c r="Q31" i="19" s="1"/>
  <c r="J11" i="18"/>
  <c r="I11" i="18" s="1"/>
  <c r="B11" i="20" s="1"/>
  <c r="J26" i="19" l="1"/>
  <c r="N6" i="18"/>
  <c r="J6" i="19" s="1"/>
  <c r="J8" i="19" s="1"/>
  <c r="K8" i="19" s="1"/>
  <c r="I17" i="20"/>
  <c r="S32" i="33"/>
  <c r="S31" i="33"/>
  <c r="J9" i="20" s="1"/>
  <c r="I9" i="20" s="1"/>
  <c r="S29" i="33"/>
  <c r="S30" i="33"/>
  <c r="S153" i="33"/>
  <c r="S155" i="33"/>
  <c r="S149" i="33"/>
  <c r="S152" i="33"/>
  <c r="S154" i="33"/>
  <c r="S148" i="33"/>
  <c r="T12" i="20" s="1"/>
  <c r="S12" i="20" s="1"/>
  <c r="S157" i="33"/>
  <c r="S151" i="33"/>
  <c r="S150" i="33"/>
  <c r="S156" i="33"/>
  <c r="S222" i="33"/>
  <c r="S216" i="33"/>
  <c r="C48" i="20" s="1"/>
  <c r="S223" i="33"/>
  <c r="S217" i="33"/>
  <c r="S16" i="33" s="1"/>
  <c r="G25" i="21" s="1"/>
  <c r="G26" i="21" s="1"/>
  <c r="S218" i="33"/>
  <c r="S221" i="33"/>
  <c r="S219" i="33"/>
  <c r="S215" i="33"/>
  <c r="J45" i="20" s="1"/>
  <c r="I45" i="20" s="1"/>
  <c r="B45" i="22" s="1"/>
  <c r="S220" i="33"/>
  <c r="S214" i="33"/>
  <c r="S194" i="33"/>
  <c r="S195" i="33"/>
  <c r="S193" i="33"/>
  <c r="S64" i="33"/>
  <c r="S63" i="33"/>
  <c r="S61" i="33"/>
  <c r="S62" i="33"/>
  <c r="B23" i="20"/>
  <c r="Q6" i="18"/>
  <c r="N6" i="19" s="1"/>
  <c r="N8" i="19" s="1"/>
  <c r="O8" i="19" s="1"/>
  <c r="S135" i="33"/>
  <c r="S137" i="33"/>
  <c r="S134" i="33"/>
  <c r="S136" i="33"/>
  <c r="S139" i="33"/>
  <c r="S138" i="33"/>
  <c r="S240" i="33"/>
  <c r="S234" i="33"/>
  <c r="S7" i="33" s="1"/>
  <c r="S235" i="33"/>
  <c r="S236" i="33"/>
  <c r="S239" i="33"/>
  <c r="S237" i="33"/>
  <c r="S19" i="33" s="1"/>
  <c r="S238" i="33"/>
  <c r="S45" i="33"/>
  <c r="S39" i="33"/>
  <c r="S44" i="33"/>
  <c r="S42" i="33"/>
  <c r="S41" i="33"/>
  <c r="S40" i="33"/>
  <c r="S43" i="33"/>
  <c r="S46" i="33"/>
  <c r="S112" i="33"/>
  <c r="S106" i="33"/>
  <c r="S114" i="33"/>
  <c r="S108" i="33"/>
  <c r="S111" i="33"/>
  <c r="S109" i="33"/>
  <c r="S113" i="33"/>
  <c r="S107" i="33"/>
  <c r="C27" i="20" s="1"/>
  <c r="S110" i="33"/>
  <c r="S26" i="33"/>
  <c r="S27" i="33"/>
  <c r="J19" i="20" s="1"/>
  <c r="I19" i="20" s="1"/>
  <c r="B19" i="22" s="1"/>
  <c r="S28" i="33"/>
  <c r="S200" i="33"/>
  <c r="S201" i="33"/>
  <c r="C32" i="20" s="1"/>
  <c r="S202" i="33"/>
  <c r="S205" i="33"/>
  <c r="S204" i="33"/>
  <c r="S203" i="33"/>
  <c r="S159" i="33"/>
  <c r="S161" i="33"/>
  <c r="S162" i="33"/>
  <c r="S160" i="33"/>
  <c r="U6" i="18"/>
  <c r="B6" i="19" s="1"/>
  <c r="B8" i="19" s="1"/>
  <c r="C8" i="19" s="1"/>
  <c r="I25" i="20"/>
  <c r="B16" i="20"/>
  <c r="S14" i="22"/>
  <c r="S131" i="33"/>
  <c r="S130" i="33"/>
  <c r="S133" i="33"/>
  <c r="S132" i="33"/>
  <c r="S76" i="33"/>
  <c r="S78" i="33"/>
  <c r="S72" i="33"/>
  <c r="S75" i="33"/>
  <c r="S80" i="33"/>
  <c r="S79" i="33"/>
  <c r="S73" i="33"/>
  <c r="S77" i="33"/>
  <c r="S74" i="33"/>
  <c r="S51" i="33"/>
  <c r="C15" i="20" s="1"/>
  <c r="S54" i="33"/>
  <c r="S56" i="33"/>
  <c r="S50" i="33"/>
  <c r="S49" i="33"/>
  <c r="S53" i="33"/>
  <c r="S52" i="33"/>
  <c r="S8" i="33" s="1"/>
  <c r="S55" i="33"/>
  <c r="S48" i="33"/>
  <c r="S47" i="33"/>
  <c r="S124" i="33"/>
  <c r="S118" i="33"/>
  <c r="S120" i="33"/>
  <c r="S123" i="33"/>
  <c r="S117" i="33"/>
  <c r="C29" i="20" s="1"/>
  <c r="S121" i="33"/>
  <c r="S115" i="33"/>
  <c r="C25" i="20" s="1"/>
  <c r="S119" i="33"/>
  <c r="S122" i="33"/>
  <c r="S116" i="33"/>
  <c r="S93" i="33"/>
  <c r="S95" i="33"/>
  <c r="S92" i="33"/>
  <c r="J26" i="20" s="1"/>
  <c r="I26" i="20" s="1"/>
  <c r="S94" i="33"/>
  <c r="S178" i="33"/>
  <c r="S180" i="33"/>
  <c r="S174" i="33"/>
  <c r="S177" i="33"/>
  <c r="S176" i="33"/>
  <c r="S175" i="33"/>
  <c r="S173" i="33"/>
  <c r="S179" i="33"/>
  <c r="S165" i="33"/>
  <c r="S164" i="33"/>
  <c r="S166" i="33"/>
  <c r="S163" i="33"/>
  <c r="S18" i="20"/>
  <c r="S228" i="33"/>
  <c r="S229" i="33"/>
  <c r="S230" i="33"/>
  <c r="S233" i="33"/>
  <c r="S231" i="33"/>
  <c r="S232" i="33"/>
  <c r="S96" i="33"/>
  <c r="S99" i="33"/>
  <c r="S97" i="33"/>
  <c r="S98" i="33"/>
  <c r="S190" i="33"/>
  <c r="S184" i="33"/>
  <c r="S186" i="33"/>
  <c r="S189" i="33"/>
  <c r="S183" i="33"/>
  <c r="S188" i="33"/>
  <c r="S182" i="33"/>
  <c r="S191" i="33"/>
  <c r="S181" i="33"/>
  <c r="S187" i="33"/>
  <c r="S12" i="33" s="1"/>
  <c r="S185" i="33"/>
  <c r="S172" i="33"/>
  <c r="S171" i="33"/>
  <c r="S167" i="33"/>
  <c r="M15" i="20" s="1"/>
  <c r="S170" i="33"/>
  <c r="S13" i="33" s="1"/>
  <c r="O30" i="21" s="1"/>
  <c r="O31" i="21" s="1"/>
  <c r="S168" i="33"/>
  <c r="S169" i="33"/>
  <c r="K6" i="18"/>
  <c r="F6" i="19" s="1"/>
  <c r="F8" i="19" s="1"/>
  <c r="G8" i="19" s="1"/>
  <c r="B8" i="20"/>
  <c r="S129" i="33"/>
  <c r="S128" i="33"/>
  <c r="S127" i="33"/>
  <c r="C38" i="20" s="1"/>
  <c r="S126" i="33"/>
  <c r="S227" i="33"/>
  <c r="S225" i="33"/>
  <c r="S226" i="33"/>
  <c r="S10" i="33" s="1"/>
  <c r="M14" i="22" s="1"/>
  <c r="S33" i="33"/>
  <c r="S38" i="33"/>
  <c r="S36" i="33"/>
  <c r="S35" i="33"/>
  <c r="S34" i="33"/>
  <c r="S37" i="33"/>
  <c r="S196" i="33"/>
  <c r="S199" i="33"/>
  <c r="S198" i="33"/>
  <c r="S197" i="33"/>
  <c r="S70" i="33"/>
  <c r="S66" i="33"/>
  <c r="S69" i="33"/>
  <c r="S67" i="33"/>
  <c r="J23" i="20" s="1"/>
  <c r="S68" i="33"/>
  <c r="S71" i="33"/>
  <c r="S65" i="33"/>
  <c r="M11" i="20"/>
  <c r="S88" i="33"/>
  <c r="S82" i="33"/>
  <c r="S90" i="33"/>
  <c r="S84" i="33"/>
  <c r="S87" i="33"/>
  <c r="S81" i="33"/>
  <c r="C23" i="20" s="1"/>
  <c r="S86" i="33"/>
  <c r="S9" i="33" s="1"/>
  <c r="S85" i="33"/>
  <c r="S89" i="33"/>
  <c r="S83" i="33"/>
  <c r="S147" i="33"/>
  <c r="S141" i="33"/>
  <c r="S143" i="33"/>
  <c r="S146" i="33"/>
  <c r="S140" i="33"/>
  <c r="S142" i="33"/>
  <c r="S145" i="33"/>
  <c r="S144" i="33"/>
  <c r="S210" i="33"/>
  <c r="S211" i="33"/>
  <c r="S212" i="33"/>
  <c r="S206" i="33"/>
  <c r="S207" i="33"/>
  <c r="S213" i="33"/>
  <c r="S208" i="33"/>
  <c r="S209" i="33"/>
  <c r="S100" i="33"/>
  <c r="S102" i="33"/>
  <c r="S105" i="33"/>
  <c r="S103" i="33"/>
  <c r="S101" i="33"/>
  <c r="S104" i="33"/>
  <c r="S60" i="33"/>
  <c r="S58" i="33"/>
  <c r="S59" i="33"/>
  <c r="S15" i="33" l="1"/>
  <c r="Q30" i="21" s="1"/>
  <c r="Q31" i="21" s="1"/>
  <c r="T13" i="20"/>
  <c r="S13" i="20" s="1"/>
  <c r="C26" i="20"/>
  <c r="J37" i="20"/>
  <c r="I37" i="20" s="1"/>
  <c r="B37" i="22" s="1"/>
  <c r="J15" i="20"/>
  <c r="I15" i="20" s="1"/>
  <c r="B15" i="22" s="1"/>
  <c r="J31" i="20"/>
  <c r="I31" i="20" s="1"/>
  <c r="B31" i="22" s="1"/>
  <c r="J27" i="20"/>
  <c r="I27" i="20" s="1"/>
  <c r="B27" i="22" s="1"/>
  <c r="J21" i="20"/>
  <c r="I21" i="20" s="1"/>
  <c r="B21" i="22" s="1"/>
  <c r="M17" i="20"/>
  <c r="L17" i="22" s="1"/>
  <c r="J13" i="20"/>
  <c r="I13" i="20" s="1"/>
  <c r="B13" i="22" s="1"/>
  <c r="B25" i="22"/>
  <c r="I25" i="22" s="1"/>
  <c r="S11" i="33"/>
  <c r="J36" i="20"/>
  <c r="I36" i="20" s="1"/>
  <c r="B36" i="22" s="1"/>
  <c r="M18" i="20"/>
  <c r="L18" i="22" s="1"/>
  <c r="J14" i="20"/>
  <c r="I14" i="20" s="1"/>
  <c r="B14" i="22" s="1"/>
  <c r="T50" i="1"/>
  <c r="AL50" i="1" s="1"/>
  <c r="BA50" i="1" s="1"/>
  <c r="T47" i="1"/>
  <c r="AL47" i="1" s="1"/>
  <c r="BA47" i="1" s="1"/>
  <c r="T224" i="33" s="1"/>
  <c r="T44" i="1"/>
  <c r="AL44" i="1" s="1"/>
  <c r="BA44" i="1" s="1"/>
  <c r="T41" i="1"/>
  <c r="AL41" i="1" s="1"/>
  <c r="BA41" i="1" s="1"/>
  <c r="T192" i="33" s="1"/>
  <c r="T38" i="1"/>
  <c r="AL38" i="1" s="1"/>
  <c r="BA38" i="1" s="1"/>
  <c r="T35" i="1"/>
  <c r="AL35" i="1" s="1"/>
  <c r="BA35" i="1" s="1"/>
  <c r="T158" i="33" s="1"/>
  <c r="T32" i="1"/>
  <c r="AL32" i="1" s="1"/>
  <c r="BA32" i="1" s="1"/>
  <c r="T29" i="1"/>
  <c r="AL29" i="1" s="1"/>
  <c r="BA29" i="1" s="1"/>
  <c r="T125" i="33" s="1"/>
  <c r="T26" i="1"/>
  <c r="AL26" i="1" s="1"/>
  <c r="BA26" i="1" s="1"/>
  <c r="T23" i="1"/>
  <c r="AL23" i="1" s="1"/>
  <c r="BA23" i="1" s="1"/>
  <c r="T91" i="33" s="1"/>
  <c r="T20" i="1"/>
  <c r="AL20" i="1" s="1"/>
  <c r="BA20" i="1" s="1"/>
  <c r="T17" i="1"/>
  <c r="AL17" i="1" s="1"/>
  <c r="BA17" i="1" s="1"/>
  <c r="T57" i="33" s="1"/>
  <c r="T40" i="1"/>
  <c r="AL40" i="1" s="1"/>
  <c r="BA40" i="1" s="1"/>
  <c r="T39" i="1"/>
  <c r="AL39" i="1" s="1"/>
  <c r="BA39" i="1" s="1"/>
  <c r="T22" i="1"/>
  <c r="AL22" i="1" s="1"/>
  <c r="BA22" i="1" s="1"/>
  <c r="T21" i="1"/>
  <c r="AL21" i="1" s="1"/>
  <c r="BA21" i="1" s="1"/>
  <c r="T13" i="1"/>
  <c r="AL13" i="1" s="1"/>
  <c r="BA13" i="1" s="1"/>
  <c r="T43" i="1"/>
  <c r="AL43" i="1" s="1"/>
  <c r="BA43" i="1" s="1"/>
  <c r="T46" i="1"/>
  <c r="AL46" i="1" s="1"/>
  <c r="BA46" i="1" s="1"/>
  <c r="T45" i="1"/>
  <c r="AL45" i="1" s="1"/>
  <c r="BA45" i="1" s="1"/>
  <c r="T28" i="1"/>
  <c r="AL28" i="1" s="1"/>
  <c r="BA28" i="1" s="1"/>
  <c r="T27" i="1"/>
  <c r="AL27" i="1" s="1"/>
  <c r="BA27" i="1" s="1"/>
  <c r="T12" i="1"/>
  <c r="AL12" i="1" s="1"/>
  <c r="BA12" i="1" s="1"/>
  <c r="T49" i="1"/>
  <c r="AL49" i="1" s="1"/>
  <c r="BA49" i="1" s="1"/>
  <c r="T48" i="1"/>
  <c r="AL48" i="1" s="1"/>
  <c r="BA48" i="1" s="1"/>
  <c r="T31" i="1"/>
  <c r="AL31" i="1" s="1"/>
  <c r="BA31" i="1" s="1"/>
  <c r="T30" i="1"/>
  <c r="AL30" i="1" s="1"/>
  <c r="BA30" i="1" s="1"/>
  <c r="T37" i="1"/>
  <c r="AL37" i="1" s="1"/>
  <c r="BA37" i="1" s="1"/>
  <c r="T36" i="1"/>
  <c r="AL36" i="1" s="1"/>
  <c r="BA36" i="1" s="1"/>
  <c r="T19" i="1"/>
  <c r="AL19" i="1" s="1"/>
  <c r="BA19" i="1" s="1"/>
  <c r="T18" i="1"/>
  <c r="AL18" i="1" s="1"/>
  <c r="BA18" i="1" s="1"/>
  <c r="T42" i="1"/>
  <c r="AL42" i="1" s="1"/>
  <c r="BA42" i="1" s="1"/>
  <c r="T25" i="1"/>
  <c r="AL25" i="1" s="1"/>
  <c r="BA25" i="1" s="1"/>
  <c r="T15" i="1"/>
  <c r="AL15" i="1" s="1"/>
  <c r="BA15" i="1" s="1"/>
  <c r="T16" i="1"/>
  <c r="AL16" i="1" s="1"/>
  <c r="BA16" i="1" s="1"/>
  <c r="T24" i="1"/>
  <c r="AL24" i="1" s="1"/>
  <c r="BA24" i="1" s="1"/>
  <c r="T33" i="1"/>
  <c r="AL33" i="1" s="1"/>
  <c r="BA33" i="1" s="1"/>
  <c r="T34" i="1"/>
  <c r="AL34" i="1" s="1"/>
  <c r="BA34" i="1" s="1"/>
  <c r="T11" i="1"/>
  <c r="AL11" i="1" s="1"/>
  <c r="BA11" i="1" s="1"/>
  <c r="T25" i="33" s="1"/>
  <c r="T14" i="1"/>
  <c r="AL14" i="1" s="1"/>
  <c r="BA14" i="1" s="1"/>
  <c r="L11" i="22"/>
  <c r="C28" i="20"/>
  <c r="J10" i="20"/>
  <c r="I10" i="20" s="1"/>
  <c r="B10" i="22" s="1"/>
  <c r="S14" i="33"/>
  <c r="P30" i="21" s="1"/>
  <c r="P31" i="21" s="1"/>
  <c r="M16" i="20"/>
  <c r="J28" i="20"/>
  <c r="I28" i="20" s="1"/>
  <c r="B17" i="22"/>
  <c r="B26" i="22"/>
  <c r="J49" i="20"/>
  <c r="I49" i="20" s="1"/>
  <c r="B49" i="22" s="1"/>
  <c r="M13" i="20"/>
  <c r="T17" i="20"/>
  <c r="S17" i="20" s="1"/>
  <c r="J32" i="20"/>
  <c r="I32" i="20" s="1"/>
  <c r="B32" i="22" s="1"/>
  <c r="J22" i="20"/>
  <c r="I22" i="20" s="1"/>
  <c r="B22" i="22" s="1"/>
  <c r="J51" i="20"/>
  <c r="I51" i="20" s="1"/>
  <c r="B51" i="22" s="1"/>
  <c r="M12" i="20"/>
  <c r="J38" i="20"/>
  <c r="I38" i="20" s="1"/>
  <c r="B38" i="22" s="1"/>
  <c r="L15" i="22"/>
  <c r="J34" i="20"/>
  <c r="I34" i="20" s="1"/>
  <c r="B34" i="22" s="1"/>
  <c r="J48" i="20"/>
  <c r="I48" i="20" s="1"/>
  <c r="B48" i="22" s="1"/>
  <c r="L14" i="24"/>
  <c r="T11" i="20"/>
  <c r="S11" i="20" s="1"/>
  <c r="B9" i="22"/>
  <c r="J16" i="20"/>
  <c r="I16" i="20" s="1"/>
  <c r="J40" i="20"/>
  <c r="I40" i="20" s="1"/>
  <c r="B40" i="22" s="1"/>
  <c r="J11" i="20"/>
  <c r="I11" i="20" s="1"/>
  <c r="B11" i="22" s="1"/>
  <c r="C14" i="22"/>
  <c r="J8" i="20"/>
  <c r="I8" i="20" s="1"/>
  <c r="B8" i="22" s="1"/>
  <c r="J12" i="20"/>
  <c r="I12" i="20" s="1"/>
  <c r="B12" i="22" s="1"/>
  <c r="J39" i="20"/>
  <c r="I39" i="20" s="1"/>
  <c r="B39" i="22" s="1"/>
  <c r="I23" i="20"/>
  <c r="B23" i="22" s="1"/>
  <c r="J29" i="20"/>
  <c r="I29" i="20" s="1"/>
  <c r="B29" i="22" s="1"/>
  <c r="C9" i="22"/>
  <c r="C10" i="22"/>
  <c r="C17" i="22"/>
  <c r="C13" i="22"/>
  <c r="C8" i="22"/>
  <c r="C12" i="22"/>
  <c r="C16" i="22"/>
  <c r="J30" i="20"/>
  <c r="I30" i="20" s="1"/>
  <c r="B30" i="22" s="1"/>
  <c r="C11" i="22"/>
  <c r="S18" i="33"/>
  <c r="I25" i="21" s="1"/>
  <c r="I26" i="21" s="1"/>
  <c r="S17" i="33"/>
  <c r="H25" i="21" s="1"/>
  <c r="H26" i="21" s="1"/>
  <c r="J26" i="21" l="1"/>
  <c r="Q6" i="20"/>
  <c r="N6" i="21" s="1"/>
  <c r="N8" i="21" s="1"/>
  <c r="O8" i="21" s="1"/>
  <c r="B16" i="22"/>
  <c r="T97" i="33"/>
  <c r="T99" i="33"/>
  <c r="T98" i="33"/>
  <c r="T96" i="33"/>
  <c r="T126" i="33"/>
  <c r="T129" i="33"/>
  <c r="T128" i="33"/>
  <c r="T127" i="33"/>
  <c r="C38" i="22" s="1"/>
  <c r="T119" i="33"/>
  <c r="T121" i="33"/>
  <c r="T115" i="33"/>
  <c r="C25" i="22" s="1"/>
  <c r="T124" i="33"/>
  <c r="T118" i="33"/>
  <c r="T123" i="33"/>
  <c r="T117" i="33"/>
  <c r="C29" i="22" s="1"/>
  <c r="T122" i="33"/>
  <c r="T120" i="33"/>
  <c r="T116" i="33"/>
  <c r="T89" i="33"/>
  <c r="T83" i="33"/>
  <c r="T85" i="33"/>
  <c r="T88" i="33"/>
  <c r="T82" i="33"/>
  <c r="T90" i="33"/>
  <c r="T86" i="33"/>
  <c r="T9" i="33" s="1"/>
  <c r="T84" i="33"/>
  <c r="T87" i="33"/>
  <c r="T81" i="33"/>
  <c r="T101" i="33"/>
  <c r="T103" i="33"/>
  <c r="T100" i="33"/>
  <c r="T105" i="33"/>
  <c r="T104" i="33"/>
  <c r="T102" i="33"/>
  <c r="T201" i="33"/>
  <c r="C32" i="22" s="1"/>
  <c r="T202" i="33"/>
  <c r="T203" i="33"/>
  <c r="T200" i="33"/>
  <c r="T205" i="33"/>
  <c r="T204" i="33"/>
  <c r="S15" i="22"/>
  <c r="T142" i="33"/>
  <c r="T144" i="33"/>
  <c r="T147" i="33"/>
  <c r="T141" i="33"/>
  <c r="T143" i="33"/>
  <c r="T140" i="33"/>
  <c r="T145" i="33"/>
  <c r="T146" i="33"/>
  <c r="T58" i="33"/>
  <c r="T60" i="33"/>
  <c r="T59" i="33"/>
  <c r="T225" i="33"/>
  <c r="T227" i="33"/>
  <c r="T226" i="33"/>
  <c r="T10" i="33" s="1"/>
  <c r="M14" i="24" s="1"/>
  <c r="L14" i="26" s="1"/>
  <c r="T223" i="33"/>
  <c r="T217" i="33"/>
  <c r="T16" i="33" s="1"/>
  <c r="G25" i="23" s="1"/>
  <c r="G26" i="23" s="1"/>
  <c r="T218" i="33"/>
  <c r="T219" i="33"/>
  <c r="T221" i="33"/>
  <c r="T215" i="33"/>
  <c r="J45" i="22" s="1"/>
  <c r="I45" i="22" s="1"/>
  <c r="B45" i="24" s="1"/>
  <c r="T222" i="33"/>
  <c r="T216" i="33"/>
  <c r="C48" i="22" s="1"/>
  <c r="T220" i="33"/>
  <c r="T214" i="33"/>
  <c r="T191" i="33"/>
  <c r="T185" i="33"/>
  <c r="T187" i="33"/>
  <c r="T12" i="33" s="1"/>
  <c r="C12" i="24" s="1"/>
  <c r="T181" i="33"/>
  <c r="T190" i="33"/>
  <c r="T184" i="33"/>
  <c r="T188" i="33"/>
  <c r="T186" i="33"/>
  <c r="T182" i="33"/>
  <c r="T189" i="33"/>
  <c r="T183" i="33"/>
  <c r="T136" i="33"/>
  <c r="T138" i="33"/>
  <c r="T135" i="33"/>
  <c r="T137" i="33"/>
  <c r="T134" i="33"/>
  <c r="T139" i="33"/>
  <c r="T235" i="33"/>
  <c r="T236" i="33"/>
  <c r="T237" i="33"/>
  <c r="T19" i="33" s="1"/>
  <c r="T240" i="33"/>
  <c r="T239" i="33"/>
  <c r="T234" i="33"/>
  <c r="T7" i="33" s="1"/>
  <c r="T238" i="33"/>
  <c r="L13" i="22"/>
  <c r="I17" i="22"/>
  <c r="N6" i="20"/>
  <c r="J6" i="21" s="1"/>
  <c r="J8" i="21" s="1"/>
  <c r="K8" i="21" s="1"/>
  <c r="T94" i="33"/>
  <c r="T95" i="33"/>
  <c r="T93" i="33"/>
  <c r="C26" i="22" s="1"/>
  <c r="T92" i="33"/>
  <c r="J26" i="22" s="1"/>
  <c r="I26" i="22" s="1"/>
  <c r="T61" i="33"/>
  <c r="J23" i="22" s="1"/>
  <c r="I23" i="22" s="1"/>
  <c r="T64" i="33"/>
  <c r="T62" i="33"/>
  <c r="T63" i="33"/>
  <c r="T229" i="33"/>
  <c r="T230" i="33"/>
  <c r="T231" i="33"/>
  <c r="T233" i="33"/>
  <c r="T228" i="33"/>
  <c r="T232" i="33"/>
  <c r="T196" i="33"/>
  <c r="T197" i="33"/>
  <c r="T199" i="33"/>
  <c r="T198" i="33"/>
  <c r="T195" i="33"/>
  <c r="T194" i="33"/>
  <c r="T193" i="33"/>
  <c r="T130" i="33"/>
  <c r="T132" i="33"/>
  <c r="T133" i="33"/>
  <c r="T131" i="33"/>
  <c r="T211" i="33"/>
  <c r="T212" i="33"/>
  <c r="T213" i="33"/>
  <c r="T207" i="33"/>
  <c r="T208" i="33"/>
  <c r="T210" i="33"/>
  <c r="T206" i="33"/>
  <c r="T209" i="33"/>
  <c r="T179" i="33"/>
  <c r="T173" i="33"/>
  <c r="T175" i="33"/>
  <c r="T178" i="33"/>
  <c r="T180" i="33"/>
  <c r="T176" i="33"/>
  <c r="T174" i="33"/>
  <c r="T177" i="33"/>
  <c r="U6" i="20"/>
  <c r="B6" i="21" s="1"/>
  <c r="B8" i="21" s="1"/>
  <c r="C8" i="21" s="1"/>
  <c r="L16" i="22"/>
  <c r="T52" i="33"/>
  <c r="T8" i="33" s="1"/>
  <c r="T55" i="33"/>
  <c r="T51" i="33"/>
  <c r="C15" i="22" s="1"/>
  <c r="T53" i="33"/>
  <c r="T50" i="33"/>
  <c r="T54" i="33"/>
  <c r="T56" i="33"/>
  <c r="T48" i="33"/>
  <c r="T47" i="33"/>
  <c r="T49" i="33"/>
  <c r="T160" i="33"/>
  <c r="T162" i="33"/>
  <c r="T159" i="33"/>
  <c r="T161" i="33"/>
  <c r="T26" i="33"/>
  <c r="T27" i="33"/>
  <c r="J19" i="22" s="1"/>
  <c r="I19" i="22" s="1"/>
  <c r="B19" i="24" s="1"/>
  <c r="T28" i="33"/>
  <c r="T32" i="33"/>
  <c r="T30" i="33"/>
  <c r="T31" i="33"/>
  <c r="J9" i="22" s="1"/>
  <c r="I9" i="22" s="1"/>
  <c r="T29" i="33"/>
  <c r="T71" i="33"/>
  <c r="T65" i="33"/>
  <c r="T67" i="33"/>
  <c r="T70" i="33"/>
  <c r="T68" i="33"/>
  <c r="T66" i="33"/>
  <c r="T69" i="33"/>
  <c r="T168" i="33"/>
  <c r="T171" i="33"/>
  <c r="T170" i="33"/>
  <c r="T13" i="33" s="1"/>
  <c r="O30" i="23" s="1"/>
  <c r="O31" i="23" s="1"/>
  <c r="T172" i="33"/>
  <c r="T169" i="33"/>
  <c r="T167" i="33"/>
  <c r="M15" i="22" s="1"/>
  <c r="L15" i="24" s="1"/>
  <c r="S18" i="22"/>
  <c r="K6" i="20"/>
  <c r="F6" i="21" s="1"/>
  <c r="F8" i="21" s="1"/>
  <c r="G8" i="21" s="1"/>
  <c r="T154" i="33"/>
  <c r="T148" i="33"/>
  <c r="T12" i="22" s="1"/>
  <c r="T156" i="33"/>
  <c r="T150" i="33"/>
  <c r="T153" i="33"/>
  <c r="T149" i="33"/>
  <c r="T17" i="22" s="1"/>
  <c r="S17" i="22" s="1"/>
  <c r="T157" i="33"/>
  <c r="T155" i="33"/>
  <c r="T152" i="33"/>
  <c r="T151" i="33"/>
  <c r="S14" i="24"/>
  <c r="L12" i="22"/>
  <c r="B28" i="22"/>
  <c r="T34" i="33"/>
  <c r="T33" i="33"/>
  <c r="T36" i="33"/>
  <c r="T35" i="33"/>
  <c r="T37" i="33"/>
  <c r="T38" i="33"/>
  <c r="T46" i="33"/>
  <c r="T40" i="33"/>
  <c r="T45" i="33"/>
  <c r="T39" i="33"/>
  <c r="T42" i="33"/>
  <c r="T41" i="33"/>
  <c r="T43" i="33"/>
  <c r="T44" i="33"/>
  <c r="T166" i="33"/>
  <c r="T165" i="33"/>
  <c r="T164" i="33"/>
  <c r="T163" i="33"/>
  <c r="T113" i="33"/>
  <c r="T107" i="33"/>
  <c r="C27" i="22" s="1"/>
  <c r="T109" i="33"/>
  <c r="T112" i="33"/>
  <c r="T106" i="33"/>
  <c r="T111" i="33"/>
  <c r="T110" i="33"/>
  <c r="T108" i="33"/>
  <c r="T114" i="33"/>
  <c r="T77" i="33"/>
  <c r="T79" i="33"/>
  <c r="T73" i="33"/>
  <c r="T76" i="33"/>
  <c r="T80" i="33"/>
  <c r="T78" i="33"/>
  <c r="T74" i="33"/>
  <c r="T72" i="33"/>
  <c r="T75" i="33"/>
  <c r="C28" i="22" l="1"/>
  <c r="T18" i="33"/>
  <c r="I25" i="23" s="1"/>
  <c r="I26" i="23" s="1"/>
  <c r="T11" i="22"/>
  <c r="S11" i="22" s="1"/>
  <c r="C8" i="24"/>
  <c r="J37" i="22"/>
  <c r="I37" i="22" s="1"/>
  <c r="B37" i="24" s="1"/>
  <c r="M12" i="22"/>
  <c r="J22" i="22"/>
  <c r="I22" i="22" s="1"/>
  <c r="B22" i="24" s="1"/>
  <c r="M17" i="22"/>
  <c r="C11" i="24"/>
  <c r="C16" i="24"/>
  <c r="T14" i="33"/>
  <c r="P30" i="23" s="1"/>
  <c r="P31" i="23" s="1"/>
  <c r="J34" i="22"/>
  <c r="I34" i="22" s="1"/>
  <c r="B34" i="24" s="1"/>
  <c r="T13" i="22"/>
  <c r="J10" i="22"/>
  <c r="I10" i="22" s="1"/>
  <c r="J13" i="22"/>
  <c r="I13" i="22" s="1"/>
  <c r="B13" i="24" s="1"/>
  <c r="J14" i="22"/>
  <c r="I14" i="22" s="1"/>
  <c r="M13" i="22"/>
  <c r="L13" i="24" s="1"/>
  <c r="M16" i="22"/>
  <c r="J29" i="22"/>
  <c r="I29" i="22" s="1"/>
  <c r="B29" i="24" s="1"/>
  <c r="U43" i="1"/>
  <c r="AM43" i="1" s="1"/>
  <c r="BB43" i="1" s="1"/>
  <c r="U42" i="1"/>
  <c r="AM42" i="1" s="1"/>
  <c r="BB42" i="1" s="1"/>
  <c r="U41" i="1"/>
  <c r="AM41" i="1" s="1"/>
  <c r="BB41" i="1" s="1"/>
  <c r="U192" i="33" s="1"/>
  <c r="U25" i="1"/>
  <c r="AM25" i="1" s="1"/>
  <c r="BB25" i="1" s="1"/>
  <c r="U24" i="1"/>
  <c r="AM24" i="1" s="1"/>
  <c r="BB24" i="1" s="1"/>
  <c r="U23" i="1"/>
  <c r="AM23" i="1" s="1"/>
  <c r="BB23" i="1" s="1"/>
  <c r="U91" i="33" s="1"/>
  <c r="U46" i="1"/>
  <c r="AM46" i="1" s="1"/>
  <c r="BB46" i="1" s="1"/>
  <c r="U44" i="1"/>
  <c r="AM44" i="1" s="1"/>
  <c r="BB44" i="1" s="1"/>
  <c r="U49" i="1"/>
  <c r="AM49" i="1" s="1"/>
  <c r="BB49" i="1" s="1"/>
  <c r="U48" i="1"/>
  <c r="AM48" i="1" s="1"/>
  <c r="BB48" i="1" s="1"/>
  <c r="U47" i="1"/>
  <c r="AM47" i="1" s="1"/>
  <c r="BB47" i="1" s="1"/>
  <c r="U224" i="33" s="1"/>
  <c r="U31" i="1"/>
  <c r="AM31" i="1" s="1"/>
  <c r="BB31" i="1" s="1"/>
  <c r="U30" i="1"/>
  <c r="AM30" i="1" s="1"/>
  <c r="BB30" i="1" s="1"/>
  <c r="U29" i="1"/>
  <c r="AM29" i="1" s="1"/>
  <c r="BB29" i="1" s="1"/>
  <c r="U125" i="33" s="1"/>
  <c r="U16" i="1"/>
  <c r="AM16" i="1" s="1"/>
  <c r="BB16" i="1" s="1"/>
  <c r="U15" i="1"/>
  <c r="AM15" i="1" s="1"/>
  <c r="BB15" i="1" s="1"/>
  <c r="U14" i="1"/>
  <c r="AM14" i="1" s="1"/>
  <c r="BB14" i="1" s="1"/>
  <c r="U11" i="1"/>
  <c r="AM11" i="1" s="1"/>
  <c r="BB11" i="1" s="1"/>
  <c r="U25" i="33" s="1"/>
  <c r="U50" i="1"/>
  <c r="AM50" i="1" s="1"/>
  <c r="BB50" i="1" s="1"/>
  <c r="U34" i="1"/>
  <c r="AM34" i="1" s="1"/>
  <c r="BB34" i="1" s="1"/>
  <c r="U33" i="1"/>
  <c r="AM33" i="1" s="1"/>
  <c r="BB33" i="1" s="1"/>
  <c r="U32" i="1"/>
  <c r="AM32" i="1" s="1"/>
  <c r="BB32" i="1" s="1"/>
  <c r="U40" i="1"/>
  <c r="AM40" i="1" s="1"/>
  <c r="BB40" i="1" s="1"/>
  <c r="U39" i="1"/>
  <c r="AM39" i="1" s="1"/>
  <c r="BB39" i="1" s="1"/>
  <c r="U38" i="1"/>
  <c r="AM38" i="1" s="1"/>
  <c r="BB38" i="1" s="1"/>
  <c r="U22" i="1"/>
  <c r="AM22" i="1" s="1"/>
  <c r="BB22" i="1" s="1"/>
  <c r="U21" i="1"/>
  <c r="AM21" i="1" s="1"/>
  <c r="BB21" i="1" s="1"/>
  <c r="U20" i="1"/>
  <c r="AM20" i="1" s="1"/>
  <c r="BB20" i="1" s="1"/>
  <c r="U13" i="1"/>
  <c r="AM13" i="1" s="1"/>
  <c r="BB13" i="1" s="1"/>
  <c r="U45" i="1"/>
  <c r="AM45" i="1" s="1"/>
  <c r="BB45" i="1" s="1"/>
  <c r="U36" i="1"/>
  <c r="AM36" i="1" s="1"/>
  <c r="BB36" i="1" s="1"/>
  <c r="U37" i="1"/>
  <c r="AM37" i="1" s="1"/>
  <c r="BB37" i="1" s="1"/>
  <c r="U12" i="1"/>
  <c r="AM12" i="1" s="1"/>
  <c r="BB12" i="1" s="1"/>
  <c r="U27" i="1"/>
  <c r="AM27" i="1" s="1"/>
  <c r="BB27" i="1" s="1"/>
  <c r="U18" i="1"/>
  <c r="AM18" i="1" s="1"/>
  <c r="BB18" i="1" s="1"/>
  <c r="U28" i="1"/>
  <c r="AM28" i="1" s="1"/>
  <c r="BB28" i="1" s="1"/>
  <c r="U17" i="1"/>
  <c r="AM17" i="1" s="1"/>
  <c r="BB17" i="1" s="1"/>
  <c r="U57" i="33" s="1"/>
  <c r="U35" i="1"/>
  <c r="AM35" i="1" s="1"/>
  <c r="BB35" i="1" s="1"/>
  <c r="U158" i="33" s="1"/>
  <c r="U26" i="1"/>
  <c r="AM26" i="1" s="1"/>
  <c r="BB26" i="1" s="1"/>
  <c r="U19" i="1"/>
  <c r="AM19" i="1" s="1"/>
  <c r="BB19" i="1" s="1"/>
  <c r="L17" i="24"/>
  <c r="S15" i="24"/>
  <c r="C14" i="24"/>
  <c r="J39" i="22"/>
  <c r="I39" i="22" s="1"/>
  <c r="B39" i="24" s="1"/>
  <c r="J30" i="22"/>
  <c r="I30" i="22" s="1"/>
  <c r="B30" i="24" s="1"/>
  <c r="C10" i="24"/>
  <c r="B26" i="24"/>
  <c r="B9" i="24"/>
  <c r="C13" i="24"/>
  <c r="T11" i="33"/>
  <c r="J40" i="22"/>
  <c r="I40" i="22" s="1"/>
  <c r="B40" i="24" s="1"/>
  <c r="J36" i="22"/>
  <c r="I36" i="22" s="1"/>
  <c r="B36" i="24" s="1"/>
  <c r="J48" i="22"/>
  <c r="I48" i="22" s="1"/>
  <c r="B48" i="24" s="1"/>
  <c r="J15" i="22"/>
  <c r="I15" i="22" s="1"/>
  <c r="B15" i="24" s="1"/>
  <c r="L12" i="24"/>
  <c r="S12" i="22"/>
  <c r="B10" i="24"/>
  <c r="J8" i="22"/>
  <c r="I8" i="22" s="1"/>
  <c r="B8" i="24" s="1"/>
  <c r="M11" i="22"/>
  <c r="J28" i="22"/>
  <c r="B14" i="24"/>
  <c r="B17" i="24"/>
  <c r="J51" i="22"/>
  <c r="I51" i="22" s="1"/>
  <c r="B51" i="24" s="1"/>
  <c r="J16" i="22"/>
  <c r="I16" i="22" s="1"/>
  <c r="T17" i="33"/>
  <c r="H25" i="23" s="1"/>
  <c r="H26" i="23" s="1"/>
  <c r="J26" i="23" s="1"/>
  <c r="J12" i="22"/>
  <c r="I12" i="22" s="1"/>
  <c r="B12" i="24" s="1"/>
  <c r="J21" i="22"/>
  <c r="I21" i="22" s="1"/>
  <c r="B21" i="24" s="1"/>
  <c r="J32" i="22"/>
  <c r="I32" i="22" s="1"/>
  <c r="B32" i="24" s="1"/>
  <c r="L16" i="24"/>
  <c r="S16" i="22"/>
  <c r="S13" i="22"/>
  <c r="C9" i="24"/>
  <c r="J31" i="22"/>
  <c r="I31" i="22" s="1"/>
  <c r="B31" i="24" s="1"/>
  <c r="M18" i="22"/>
  <c r="B25" i="24"/>
  <c r="J38" i="22"/>
  <c r="I38" i="22" s="1"/>
  <c r="B38" i="24" s="1"/>
  <c r="J11" i="22"/>
  <c r="I11" i="22" s="1"/>
  <c r="B11" i="24" s="1"/>
  <c r="I28" i="22"/>
  <c r="B28" i="24" s="1"/>
  <c r="S14" i="26"/>
  <c r="C17" i="24"/>
  <c r="J49" i="22"/>
  <c r="I49" i="22" s="1"/>
  <c r="B49" i="24" s="1"/>
  <c r="T15" i="33"/>
  <c r="Q30" i="23" s="1"/>
  <c r="Q31" i="23" s="1"/>
  <c r="C23" i="22"/>
  <c r="J27" i="22"/>
  <c r="I27" i="22" s="1"/>
  <c r="B27" i="24" s="1"/>
  <c r="U6" i="22" l="1"/>
  <c r="B6" i="23" s="1"/>
  <c r="B8" i="23" s="1"/>
  <c r="C8" i="23" s="1"/>
  <c r="Q6" i="22"/>
  <c r="N6" i="23" s="1"/>
  <c r="N8" i="23" s="1"/>
  <c r="O8" i="23" s="1"/>
  <c r="B16" i="24"/>
  <c r="U59" i="33"/>
  <c r="U58" i="33"/>
  <c r="U60" i="33"/>
  <c r="U30" i="33"/>
  <c r="U31" i="33"/>
  <c r="J9" i="24" s="1"/>
  <c r="U29" i="33"/>
  <c r="U32" i="33"/>
  <c r="U186" i="33"/>
  <c r="U188" i="33"/>
  <c r="U182" i="33"/>
  <c r="U191" i="33"/>
  <c r="U185" i="33"/>
  <c r="U190" i="33"/>
  <c r="U184" i="33"/>
  <c r="U189" i="33"/>
  <c r="U187" i="33"/>
  <c r="U12" i="33" s="1"/>
  <c r="C17" i="26" s="1"/>
  <c r="U183" i="33"/>
  <c r="U181" i="33"/>
  <c r="U35" i="33"/>
  <c r="U34" i="33"/>
  <c r="U37" i="33"/>
  <c r="U33" i="33"/>
  <c r="U38" i="33"/>
  <c r="U36" i="33"/>
  <c r="U95" i="33"/>
  <c r="U94" i="33"/>
  <c r="U92" i="33"/>
  <c r="J26" i="24" s="1"/>
  <c r="U93" i="33"/>
  <c r="B23" i="24"/>
  <c r="K6" i="22"/>
  <c r="F6" i="23" s="1"/>
  <c r="F8" i="23" s="1"/>
  <c r="G8" i="23" s="1"/>
  <c r="U102" i="33"/>
  <c r="U104" i="33"/>
  <c r="U101" i="33"/>
  <c r="U105" i="33"/>
  <c r="U103" i="33"/>
  <c r="U100" i="33"/>
  <c r="U26" i="33"/>
  <c r="U27" i="33"/>
  <c r="J19" i="24" s="1"/>
  <c r="I19" i="24" s="1"/>
  <c r="B19" i="26" s="1"/>
  <c r="U28" i="33"/>
  <c r="U78" i="33"/>
  <c r="U72" i="33"/>
  <c r="U80" i="33"/>
  <c r="U74" i="33"/>
  <c r="U77" i="33"/>
  <c r="U76" i="33"/>
  <c r="U79" i="33"/>
  <c r="U75" i="33"/>
  <c r="U73" i="33"/>
  <c r="U143" i="33"/>
  <c r="U145" i="33"/>
  <c r="U142" i="33"/>
  <c r="U146" i="33"/>
  <c r="U144" i="33"/>
  <c r="U140" i="33"/>
  <c r="U147" i="33"/>
  <c r="U141" i="33"/>
  <c r="U53" i="33"/>
  <c r="U47" i="33"/>
  <c r="U56" i="33"/>
  <c r="U52" i="33"/>
  <c r="U8" i="33" s="1"/>
  <c r="U54" i="33"/>
  <c r="U51" i="33"/>
  <c r="C15" i="24" s="1"/>
  <c r="U48" i="33"/>
  <c r="U55" i="33"/>
  <c r="U49" i="33"/>
  <c r="U50" i="33"/>
  <c r="U230" i="33"/>
  <c r="U231" i="33"/>
  <c r="U232" i="33"/>
  <c r="U233" i="33"/>
  <c r="U229" i="33"/>
  <c r="U228" i="33"/>
  <c r="U62" i="33"/>
  <c r="U64" i="33"/>
  <c r="U61" i="33"/>
  <c r="U63" i="33"/>
  <c r="U137" i="33"/>
  <c r="U139" i="33"/>
  <c r="U136" i="33"/>
  <c r="U138" i="33"/>
  <c r="U134" i="33"/>
  <c r="U135" i="33"/>
  <c r="L18" i="24"/>
  <c r="U163" i="33"/>
  <c r="U166" i="33"/>
  <c r="U164" i="33"/>
  <c r="U165" i="33"/>
  <c r="U90" i="33"/>
  <c r="U84" i="33"/>
  <c r="U86" i="33"/>
  <c r="U9" i="33" s="1"/>
  <c r="U89" i="33"/>
  <c r="U83" i="33"/>
  <c r="U88" i="33"/>
  <c r="U82" i="33"/>
  <c r="U87" i="33"/>
  <c r="U85" i="33"/>
  <c r="U81" i="33"/>
  <c r="U155" i="33"/>
  <c r="U149" i="33"/>
  <c r="U157" i="33"/>
  <c r="U151" i="33"/>
  <c r="U154" i="33"/>
  <c r="U148" i="33"/>
  <c r="T12" i="24" s="1"/>
  <c r="U156" i="33"/>
  <c r="U152" i="33"/>
  <c r="U150" i="33"/>
  <c r="U153" i="33"/>
  <c r="U202" i="33"/>
  <c r="U203" i="33"/>
  <c r="U204" i="33"/>
  <c r="U201" i="33"/>
  <c r="C32" i="24" s="1"/>
  <c r="U205" i="33"/>
  <c r="U200" i="33"/>
  <c r="U195" i="33"/>
  <c r="U194" i="33"/>
  <c r="U193" i="33"/>
  <c r="I25" i="24"/>
  <c r="N6" i="22"/>
  <c r="J6" i="23" s="1"/>
  <c r="J8" i="23" s="1"/>
  <c r="K8" i="23" s="1"/>
  <c r="U114" i="33"/>
  <c r="U108" i="33"/>
  <c r="U110" i="33"/>
  <c r="U113" i="33"/>
  <c r="U107" i="33"/>
  <c r="C27" i="24" s="1"/>
  <c r="U111" i="33"/>
  <c r="U109" i="33"/>
  <c r="U106" i="33"/>
  <c r="U112" i="33"/>
  <c r="U41" i="33"/>
  <c r="U46" i="33"/>
  <c r="J12" i="24" s="1"/>
  <c r="I12" i="24" s="1"/>
  <c r="U40" i="33"/>
  <c r="U42" i="33"/>
  <c r="U43" i="33"/>
  <c r="U39" i="33"/>
  <c r="U44" i="33"/>
  <c r="U45" i="33"/>
  <c r="U96" i="33"/>
  <c r="U98" i="33"/>
  <c r="U99" i="33"/>
  <c r="U97" i="33"/>
  <c r="S16" i="24"/>
  <c r="I9" i="24"/>
  <c r="B9" i="26" s="1"/>
  <c r="C10" i="26"/>
  <c r="U161" i="33"/>
  <c r="U160" i="33"/>
  <c r="U162" i="33"/>
  <c r="U159" i="33"/>
  <c r="U172" i="33"/>
  <c r="U167" i="33"/>
  <c r="M15" i="24" s="1"/>
  <c r="U169" i="33"/>
  <c r="U170" i="33"/>
  <c r="U13" i="33" s="1"/>
  <c r="O30" i="25" s="1"/>
  <c r="O31" i="25" s="1"/>
  <c r="U168" i="33"/>
  <c r="U171" i="33"/>
  <c r="U236" i="33"/>
  <c r="U237" i="33"/>
  <c r="U19" i="33" s="1"/>
  <c r="U238" i="33"/>
  <c r="U240" i="33"/>
  <c r="U239" i="33"/>
  <c r="U235" i="33"/>
  <c r="C23" i="24" s="1"/>
  <c r="U234" i="33"/>
  <c r="U7" i="33" s="1"/>
  <c r="U127" i="33"/>
  <c r="C38" i="24" s="1"/>
  <c r="U128" i="33"/>
  <c r="U126" i="33"/>
  <c r="U129" i="33"/>
  <c r="U218" i="33"/>
  <c r="U219" i="33"/>
  <c r="U220" i="33"/>
  <c r="U214" i="33"/>
  <c r="U221" i="33"/>
  <c r="U215" i="33"/>
  <c r="J45" i="24" s="1"/>
  <c r="I45" i="24" s="1"/>
  <c r="B45" i="26" s="1"/>
  <c r="U223" i="33"/>
  <c r="U217" i="33"/>
  <c r="U16" i="33" s="1"/>
  <c r="G25" i="25" s="1"/>
  <c r="G26" i="25" s="1"/>
  <c r="U222" i="33"/>
  <c r="J14" i="24" s="1"/>
  <c r="I14" i="24" s="1"/>
  <c r="B14" i="26" s="1"/>
  <c r="U216" i="33"/>
  <c r="C48" i="24" s="1"/>
  <c r="U196" i="33"/>
  <c r="U197" i="33"/>
  <c r="U198" i="33"/>
  <c r="U199" i="33"/>
  <c r="L11" i="24"/>
  <c r="U66" i="33"/>
  <c r="U68" i="33"/>
  <c r="U71" i="33"/>
  <c r="U65" i="33"/>
  <c r="U70" i="33"/>
  <c r="U67" i="33"/>
  <c r="U69" i="33"/>
  <c r="U225" i="33"/>
  <c r="U226" i="33"/>
  <c r="U10" i="33" s="1"/>
  <c r="M14" i="26" s="1"/>
  <c r="U227" i="33"/>
  <c r="I17" i="24"/>
  <c r="B17" i="26" s="1"/>
  <c r="S12" i="24"/>
  <c r="I26" i="24"/>
  <c r="U120" i="33"/>
  <c r="U122" i="33"/>
  <c r="U116" i="33"/>
  <c r="U119" i="33"/>
  <c r="U123" i="33"/>
  <c r="U121" i="33"/>
  <c r="U117" i="33"/>
  <c r="C29" i="24" s="1"/>
  <c r="U115" i="33"/>
  <c r="C25" i="24" s="1"/>
  <c r="U118" i="33"/>
  <c r="U124" i="33"/>
  <c r="U212" i="33"/>
  <c r="U213" i="33"/>
  <c r="U208" i="33"/>
  <c r="U211" i="33"/>
  <c r="U207" i="33"/>
  <c r="U206" i="33"/>
  <c r="U209" i="33"/>
  <c r="U210" i="33"/>
  <c r="U180" i="33"/>
  <c r="J34" i="24" s="1"/>
  <c r="I34" i="24" s="1"/>
  <c r="B34" i="26" s="1"/>
  <c r="U174" i="33"/>
  <c r="U176" i="33"/>
  <c r="U179" i="33"/>
  <c r="U173" i="33"/>
  <c r="U178" i="33"/>
  <c r="U177" i="33"/>
  <c r="U175" i="33"/>
  <c r="U131" i="33"/>
  <c r="U133" i="33"/>
  <c r="U130" i="33"/>
  <c r="U132" i="33"/>
  <c r="M13" i="24"/>
  <c r="L13" i="26" s="1"/>
  <c r="C14" i="26" l="1"/>
  <c r="T11" i="24"/>
  <c r="U11" i="33"/>
  <c r="J37" i="24"/>
  <c r="I37" i="24" s="1"/>
  <c r="B37" i="26" s="1"/>
  <c r="J23" i="24"/>
  <c r="I23" i="24" s="1"/>
  <c r="B23" i="26" s="1"/>
  <c r="J22" i="24"/>
  <c r="I22" i="24" s="1"/>
  <c r="B22" i="26" s="1"/>
  <c r="M18" i="24"/>
  <c r="L18" i="26" s="1"/>
  <c r="M12" i="24"/>
  <c r="L12" i="26" s="1"/>
  <c r="J38" i="24"/>
  <c r="I38" i="24" s="1"/>
  <c r="M11" i="24"/>
  <c r="J16" i="24"/>
  <c r="I16" i="24" s="1"/>
  <c r="B16" i="26" s="1"/>
  <c r="U15" i="33"/>
  <c r="Q30" i="25" s="1"/>
  <c r="Q31" i="25" s="1"/>
  <c r="J48" i="24"/>
  <c r="I48" i="24" s="1"/>
  <c r="B48" i="26" s="1"/>
  <c r="J30" i="24"/>
  <c r="I30" i="24" s="1"/>
  <c r="B30" i="26" s="1"/>
  <c r="I17" i="26"/>
  <c r="V49" i="1"/>
  <c r="AN49" i="1" s="1"/>
  <c r="BC49" i="1" s="1"/>
  <c r="V46" i="1"/>
  <c r="AN46" i="1" s="1"/>
  <c r="BC46" i="1" s="1"/>
  <c r="V43" i="1"/>
  <c r="AN43" i="1" s="1"/>
  <c r="BC43" i="1" s="1"/>
  <c r="V40" i="1"/>
  <c r="AN40" i="1" s="1"/>
  <c r="BC40" i="1" s="1"/>
  <c r="V37" i="1"/>
  <c r="AN37" i="1" s="1"/>
  <c r="BC37" i="1" s="1"/>
  <c r="V34" i="1"/>
  <c r="AN34" i="1" s="1"/>
  <c r="BC34" i="1" s="1"/>
  <c r="V31" i="1"/>
  <c r="AN31" i="1" s="1"/>
  <c r="BC31" i="1" s="1"/>
  <c r="V28" i="1"/>
  <c r="AN28" i="1" s="1"/>
  <c r="BC28" i="1" s="1"/>
  <c r="V25" i="1"/>
  <c r="AN25" i="1" s="1"/>
  <c r="BC25" i="1" s="1"/>
  <c r="V22" i="1"/>
  <c r="AN22" i="1" s="1"/>
  <c r="BC22" i="1" s="1"/>
  <c r="V19" i="1"/>
  <c r="AN19" i="1" s="1"/>
  <c r="BC19" i="1" s="1"/>
  <c r="V16" i="1"/>
  <c r="AN16" i="1" s="1"/>
  <c r="BC16" i="1" s="1"/>
  <c r="V45" i="1"/>
  <c r="AN45" i="1" s="1"/>
  <c r="BC45" i="1" s="1"/>
  <c r="V44" i="1"/>
  <c r="AN44" i="1" s="1"/>
  <c r="BC44" i="1" s="1"/>
  <c r="V27" i="1"/>
  <c r="AN27" i="1" s="1"/>
  <c r="BC27" i="1" s="1"/>
  <c r="V26" i="1"/>
  <c r="AN26" i="1" s="1"/>
  <c r="BC26" i="1" s="1"/>
  <c r="V12" i="1"/>
  <c r="AN12" i="1" s="1"/>
  <c r="BC12" i="1" s="1"/>
  <c r="V47" i="1"/>
  <c r="AN47" i="1" s="1"/>
  <c r="BC47" i="1" s="1"/>
  <c r="V224" i="33" s="1"/>
  <c r="V50" i="1"/>
  <c r="AN50" i="1" s="1"/>
  <c r="BC50" i="1" s="1"/>
  <c r="V33" i="1"/>
  <c r="AN33" i="1" s="1"/>
  <c r="BC33" i="1" s="1"/>
  <c r="V32" i="1"/>
  <c r="AN32" i="1" s="1"/>
  <c r="BC32" i="1" s="1"/>
  <c r="V15" i="1"/>
  <c r="AN15" i="1" s="1"/>
  <c r="BC15" i="1" s="1"/>
  <c r="V14" i="1"/>
  <c r="AN14" i="1" s="1"/>
  <c r="BC14" i="1" s="1"/>
  <c r="V11" i="1"/>
  <c r="AN11" i="1" s="1"/>
  <c r="BC11" i="1" s="1"/>
  <c r="V25" i="33" s="1"/>
  <c r="V18" i="1"/>
  <c r="AN18" i="1" s="1"/>
  <c r="BC18" i="1" s="1"/>
  <c r="V17" i="1"/>
  <c r="AN17" i="1" s="1"/>
  <c r="BC17" i="1" s="1"/>
  <c r="V57" i="33" s="1"/>
  <c r="V36" i="1"/>
  <c r="AN36" i="1" s="1"/>
  <c r="BC36" i="1" s="1"/>
  <c r="V35" i="1"/>
  <c r="AN35" i="1" s="1"/>
  <c r="BC35" i="1" s="1"/>
  <c r="V158" i="33" s="1"/>
  <c r="V42" i="1"/>
  <c r="AN42" i="1" s="1"/>
  <c r="BC42" i="1" s="1"/>
  <c r="V41" i="1"/>
  <c r="AN41" i="1" s="1"/>
  <c r="BC41" i="1" s="1"/>
  <c r="V192" i="33" s="1"/>
  <c r="V24" i="1"/>
  <c r="AN24" i="1" s="1"/>
  <c r="BC24" i="1" s="1"/>
  <c r="V23" i="1"/>
  <c r="AN23" i="1" s="1"/>
  <c r="BC23" i="1" s="1"/>
  <c r="V91" i="33" s="1"/>
  <c r="V48" i="1"/>
  <c r="AN48" i="1" s="1"/>
  <c r="BC48" i="1" s="1"/>
  <c r="V21" i="1"/>
  <c r="AN21" i="1" s="1"/>
  <c r="BC21" i="1" s="1"/>
  <c r="V30" i="1"/>
  <c r="AN30" i="1" s="1"/>
  <c r="BC30" i="1" s="1"/>
  <c r="V39" i="1"/>
  <c r="AN39" i="1" s="1"/>
  <c r="BC39" i="1" s="1"/>
  <c r="V29" i="1"/>
  <c r="AN29" i="1" s="1"/>
  <c r="BC29" i="1" s="1"/>
  <c r="V125" i="33" s="1"/>
  <c r="V38" i="1"/>
  <c r="AN38" i="1" s="1"/>
  <c r="BC38" i="1" s="1"/>
  <c r="V20" i="1"/>
  <c r="AN20" i="1" s="1"/>
  <c r="BC20" i="1" s="1"/>
  <c r="V13" i="1"/>
  <c r="AN13" i="1" s="1"/>
  <c r="BC13" i="1" s="1"/>
  <c r="J49" i="24"/>
  <c r="I49" i="24" s="1"/>
  <c r="B49" i="26" s="1"/>
  <c r="L15" i="26"/>
  <c r="U17" i="33"/>
  <c r="H25" i="25" s="1"/>
  <c r="H26" i="25" s="1"/>
  <c r="J40" i="24"/>
  <c r="I40" i="24" s="1"/>
  <c r="B40" i="26" s="1"/>
  <c r="C13" i="26"/>
  <c r="J21" i="24"/>
  <c r="I21" i="24" s="1"/>
  <c r="B21" i="26" s="1"/>
  <c r="L14" i="28"/>
  <c r="J27" i="24"/>
  <c r="I27" i="24" s="1"/>
  <c r="B27" i="26" s="1"/>
  <c r="U18" i="33"/>
  <c r="I25" i="25" s="1"/>
  <c r="I26" i="25" s="1"/>
  <c r="M17" i="24"/>
  <c r="T13" i="24"/>
  <c r="S13" i="24" s="1"/>
  <c r="J13" i="24"/>
  <c r="I13" i="24" s="1"/>
  <c r="B13" i="26" s="1"/>
  <c r="B38" i="26"/>
  <c r="J28" i="24"/>
  <c r="I28" i="24" s="1"/>
  <c r="J32" i="24"/>
  <c r="I32" i="24" s="1"/>
  <c r="B32" i="26" s="1"/>
  <c r="M16" i="24"/>
  <c r="J29" i="24"/>
  <c r="I29" i="24" s="1"/>
  <c r="B29" i="26" s="1"/>
  <c r="C26" i="24"/>
  <c r="J11" i="24"/>
  <c r="I11" i="24" s="1"/>
  <c r="B11" i="26" s="1"/>
  <c r="C28" i="24"/>
  <c r="T17" i="24"/>
  <c r="S17" i="24" s="1"/>
  <c r="J39" i="24"/>
  <c r="I39" i="24" s="1"/>
  <c r="B39" i="26" s="1"/>
  <c r="J51" i="24"/>
  <c r="I51" i="24" s="1"/>
  <c r="B51" i="26" s="1"/>
  <c r="J8" i="24"/>
  <c r="I8" i="24" s="1"/>
  <c r="J31" i="24"/>
  <c r="I31" i="24" s="1"/>
  <c r="B31" i="26" s="1"/>
  <c r="J15" i="24"/>
  <c r="I15" i="24" s="1"/>
  <c r="B15" i="26" s="1"/>
  <c r="C11" i="26"/>
  <c r="C8" i="26"/>
  <c r="C16" i="26"/>
  <c r="C12" i="26"/>
  <c r="B12" i="26"/>
  <c r="S18" i="24"/>
  <c r="B25" i="26"/>
  <c r="S11" i="24"/>
  <c r="L11" i="26"/>
  <c r="J36" i="24"/>
  <c r="I36" i="24" s="1"/>
  <c r="B36" i="26" s="1"/>
  <c r="U14" i="33"/>
  <c r="P30" i="25" s="1"/>
  <c r="P31" i="25" s="1"/>
  <c r="J10" i="24"/>
  <c r="I10" i="24" s="1"/>
  <c r="B10" i="26" s="1"/>
  <c r="C9" i="26"/>
  <c r="J26" i="25" l="1"/>
  <c r="K6" i="24"/>
  <c r="F6" i="25" s="1"/>
  <c r="F8" i="25" s="1"/>
  <c r="G8" i="25" s="1"/>
  <c r="B8" i="26"/>
  <c r="S18" i="26"/>
  <c r="B28" i="26"/>
  <c r="Q6" i="24"/>
  <c r="N6" i="25" s="1"/>
  <c r="N8" i="25" s="1"/>
  <c r="O8" i="25" s="1"/>
  <c r="S15" i="26"/>
  <c r="V168" i="33"/>
  <c r="V170" i="33"/>
  <c r="V13" i="33" s="1"/>
  <c r="O30" i="27" s="1"/>
  <c r="O31" i="27" s="1"/>
  <c r="V172" i="33"/>
  <c r="V167" i="33"/>
  <c r="M15" i="26" s="1"/>
  <c r="L15" i="28" s="1"/>
  <c r="V169" i="33"/>
  <c r="V171" i="33"/>
  <c r="V144" i="33"/>
  <c r="V146" i="33"/>
  <c r="V140" i="33"/>
  <c r="V143" i="33"/>
  <c r="V145" i="33"/>
  <c r="V142" i="33"/>
  <c r="V147" i="33"/>
  <c r="V141" i="33"/>
  <c r="V203" i="33"/>
  <c r="V204" i="33"/>
  <c r="V205" i="33"/>
  <c r="V202" i="33"/>
  <c r="V200" i="33"/>
  <c r="V201" i="33"/>
  <c r="C32" i="26" s="1"/>
  <c r="V121" i="33"/>
  <c r="V115" i="33"/>
  <c r="C25" i="26" s="1"/>
  <c r="V123" i="33"/>
  <c r="V117" i="33"/>
  <c r="C29" i="26" s="1"/>
  <c r="V120" i="33"/>
  <c r="V119" i="33"/>
  <c r="V118" i="33"/>
  <c r="V116" i="33"/>
  <c r="V122" i="33"/>
  <c r="V124" i="33"/>
  <c r="V219" i="33"/>
  <c r="V220" i="33"/>
  <c r="V214" i="33"/>
  <c r="V221" i="33"/>
  <c r="V215" i="33"/>
  <c r="J45" i="26" s="1"/>
  <c r="I45" i="26" s="1"/>
  <c r="B45" i="28" s="1"/>
  <c r="V223" i="33"/>
  <c r="V217" i="33"/>
  <c r="V16" i="33" s="1"/>
  <c r="G25" i="27" s="1"/>
  <c r="G26" i="27" s="1"/>
  <c r="V218" i="33"/>
  <c r="V216" i="33"/>
  <c r="C48" i="26" s="1"/>
  <c r="V222" i="33"/>
  <c r="S14" i="28"/>
  <c r="V94" i="33"/>
  <c r="V95" i="33"/>
  <c r="V92" i="33"/>
  <c r="J26" i="26" s="1"/>
  <c r="V93" i="33"/>
  <c r="V60" i="33"/>
  <c r="V59" i="33"/>
  <c r="V58" i="33"/>
  <c r="V237" i="33"/>
  <c r="V19" i="33" s="1"/>
  <c r="V238" i="33"/>
  <c r="V239" i="33"/>
  <c r="V240" i="33"/>
  <c r="V235" i="33"/>
  <c r="V236" i="33"/>
  <c r="V234" i="33"/>
  <c r="V7" i="33" s="1"/>
  <c r="V213" i="33"/>
  <c r="V209" i="33"/>
  <c r="V212" i="33"/>
  <c r="V208" i="33"/>
  <c r="V210" i="33"/>
  <c r="V207" i="33"/>
  <c r="V206" i="33"/>
  <c r="V211" i="33"/>
  <c r="V132" i="33"/>
  <c r="V131" i="33"/>
  <c r="V133" i="33"/>
  <c r="V130" i="33"/>
  <c r="V231" i="33"/>
  <c r="V232" i="33"/>
  <c r="V233" i="33"/>
  <c r="V229" i="33"/>
  <c r="V230" i="33"/>
  <c r="V228" i="33"/>
  <c r="N6" i="24"/>
  <c r="J6" i="25" s="1"/>
  <c r="J8" i="25" s="1"/>
  <c r="K8" i="25" s="1"/>
  <c r="V175" i="33"/>
  <c r="V177" i="33"/>
  <c r="V180" i="33"/>
  <c r="V174" i="33"/>
  <c r="V178" i="33"/>
  <c r="V176" i="33"/>
  <c r="V179" i="33"/>
  <c r="V173" i="33"/>
  <c r="V54" i="33"/>
  <c r="V48" i="33"/>
  <c r="V53" i="33"/>
  <c r="V47" i="33"/>
  <c r="V52" i="33"/>
  <c r="V8" i="33" s="1"/>
  <c r="V56" i="33"/>
  <c r="V55" i="33"/>
  <c r="V49" i="33"/>
  <c r="V50" i="33"/>
  <c r="V51" i="33"/>
  <c r="C15" i="26" s="1"/>
  <c r="V156" i="33"/>
  <c r="V150" i="33"/>
  <c r="V152" i="33"/>
  <c r="V155" i="33"/>
  <c r="V149" i="33"/>
  <c r="V148" i="33"/>
  <c r="T12" i="26" s="1"/>
  <c r="S12" i="26" s="1"/>
  <c r="V154" i="33"/>
  <c r="V153" i="33"/>
  <c r="V157" i="33"/>
  <c r="V151" i="33"/>
  <c r="B26" i="26"/>
  <c r="L17" i="26"/>
  <c r="V126" i="33"/>
  <c r="V128" i="33"/>
  <c r="V129" i="33"/>
  <c r="V127" i="33"/>
  <c r="C38" i="26" s="1"/>
  <c r="V195" i="33"/>
  <c r="V193" i="33"/>
  <c r="V194" i="33"/>
  <c r="V36" i="33"/>
  <c r="V35" i="33"/>
  <c r="V38" i="33"/>
  <c r="V34" i="33"/>
  <c r="V37" i="33"/>
  <c r="V33" i="33"/>
  <c r="V27" i="33"/>
  <c r="J19" i="26" s="1"/>
  <c r="I19" i="26" s="1"/>
  <c r="B19" i="28" s="1"/>
  <c r="V28" i="33"/>
  <c r="V26" i="33"/>
  <c r="V61" i="33"/>
  <c r="V63" i="33"/>
  <c r="V64" i="33"/>
  <c r="V62" i="33"/>
  <c r="V164" i="33"/>
  <c r="V166" i="33"/>
  <c r="V165" i="33"/>
  <c r="V163" i="33"/>
  <c r="U6" i="24"/>
  <c r="B6" i="25" s="1"/>
  <c r="B8" i="25" s="1"/>
  <c r="C8" i="25" s="1"/>
  <c r="I25" i="26"/>
  <c r="V30" i="33"/>
  <c r="V29" i="33"/>
  <c r="J13" i="26" s="1"/>
  <c r="I13" i="26" s="1"/>
  <c r="V31" i="33"/>
  <c r="J9" i="26" s="1"/>
  <c r="I9" i="26" s="1"/>
  <c r="V32" i="33"/>
  <c r="V79" i="33"/>
  <c r="V73" i="33"/>
  <c r="V75" i="33"/>
  <c r="V78" i="33"/>
  <c r="V72" i="33"/>
  <c r="V77" i="33"/>
  <c r="V80" i="33"/>
  <c r="V76" i="33"/>
  <c r="V74" i="33"/>
  <c r="V42" i="33"/>
  <c r="V41" i="33"/>
  <c r="V43" i="33"/>
  <c r="V39" i="33"/>
  <c r="V44" i="33"/>
  <c r="V40" i="33"/>
  <c r="V45" i="33"/>
  <c r="V46" i="33"/>
  <c r="V103" i="33"/>
  <c r="V105" i="33"/>
  <c r="V102" i="33"/>
  <c r="V101" i="33"/>
  <c r="V104" i="33"/>
  <c r="V100" i="33"/>
  <c r="V85" i="33"/>
  <c r="V87" i="33"/>
  <c r="V81" i="33"/>
  <c r="C23" i="26" s="1"/>
  <c r="V90" i="33"/>
  <c r="V84" i="33"/>
  <c r="V89" i="33"/>
  <c r="V83" i="33"/>
  <c r="V88" i="33"/>
  <c r="V86" i="33"/>
  <c r="V9" i="33" s="1"/>
  <c r="V82" i="33"/>
  <c r="V187" i="33"/>
  <c r="V12" i="33" s="1"/>
  <c r="C8" i="28" s="1"/>
  <c r="V181" i="33"/>
  <c r="V189" i="33"/>
  <c r="V183" i="33"/>
  <c r="V186" i="33"/>
  <c r="V190" i="33"/>
  <c r="V188" i="33"/>
  <c r="V184" i="33"/>
  <c r="V182" i="33"/>
  <c r="V191" i="33"/>
  <c r="V185" i="33"/>
  <c r="L16" i="26"/>
  <c r="V67" i="33"/>
  <c r="V69" i="33"/>
  <c r="V66" i="33"/>
  <c r="V71" i="33"/>
  <c r="V65" i="33"/>
  <c r="V70" i="33"/>
  <c r="V68" i="33"/>
  <c r="V225" i="33"/>
  <c r="V226" i="33"/>
  <c r="V10" i="33" s="1"/>
  <c r="M14" i="28" s="1"/>
  <c r="V227" i="33"/>
  <c r="V162" i="33"/>
  <c r="V161" i="33"/>
  <c r="V159" i="33"/>
  <c r="V160" i="33"/>
  <c r="V138" i="33"/>
  <c r="V134" i="33"/>
  <c r="V137" i="33"/>
  <c r="V139" i="33"/>
  <c r="V135" i="33"/>
  <c r="V136" i="33"/>
  <c r="V109" i="33"/>
  <c r="V111" i="33"/>
  <c r="V114" i="33"/>
  <c r="V108" i="33"/>
  <c r="V113" i="33"/>
  <c r="V107" i="33"/>
  <c r="C27" i="26" s="1"/>
  <c r="V106" i="33"/>
  <c r="V110" i="33"/>
  <c r="V112" i="33"/>
  <c r="V97" i="33"/>
  <c r="V99" i="33"/>
  <c r="V96" i="33"/>
  <c r="V98" i="33"/>
  <c r="V197" i="33"/>
  <c r="V198" i="33"/>
  <c r="V199" i="33"/>
  <c r="V196" i="33"/>
  <c r="C26" i="26" l="1"/>
  <c r="M12" i="26"/>
  <c r="V18" i="33"/>
  <c r="I25" i="27" s="1"/>
  <c r="I26" i="27" s="1"/>
  <c r="J49" i="26"/>
  <c r="I49" i="26" s="1"/>
  <c r="B49" i="28" s="1"/>
  <c r="J31" i="26"/>
  <c r="I31" i="26" s="1"/>
  <c r="B31" i="28" s="1"/>
  <c r="J39" i="26"/>
  <c r="I39" i="26" s="1"/>
  <c r="B39" i="28" s="1"/>
  <c r="J12" i="26"/>
  <c r="I12" i="26" s="1"/>
  <c r="B12" i="28" s="1"/>
  <c r="T13" i="26"/>
  <c r="S13" i="26" s="1"/>
  <c r="M16" i="26"/>
  <c r="L16" i="28" s="1"/>
  <c r="J38" i="26"/>
  <c r="I38" i="26" s="1"/>
  <c r="B38" i="28" s="1"/>
  <c r="J32" i="26"/>
  <c r="I32" i="26" s="1"/>
  <c r="B32" i="28" s="1"/>
  <c r="M11" i="26"/>
  <c r="L11" i="28" s="1"/>
  <c r="V17" i="33"/>
  <c r="H25" i="27" s="1"/>
  <c r="H26" i="27" s="1"/>
  <c r="V14" i="33"/>
  <c r="P30" i="27" s="1"/>
  <c r="P31" i="27" s="1"/>
  <c r="B25" i="28"/>
  <c r="I25" i="28" s="1"/>
  <c r="J14" i="26"/>
  <c r="I14" i="26" s="1"/>
  <c r="B14" i="28" s="1"/>
  <c r="J36" i="26"/>
  <c r="I36" i="26" s="1"/>
  <c r="B36" i="28" s="1"/>
  <c r="J37" i="26"/>
  <c r="I37" i="26" s="1"/>
  <c r="B37" i="28" s="1"/>
  <c r="J15" i="26"/>
  <c r="I15" i="26" s="1"/>
  <c r="B15" i="28" s="1"/>
  <c r="J40" i="26"/>
  <c r="I40" i="26" s="1"/>
  <c r="B40" i="28" s="1"/>
  <c r="J23" i="26"/>
  <c r="I23" i="26" s="1"/>
  <c r="B23" i="28" s="1"/>
  <c r="M17" i="26"/>
  <c r="L17" i="28" s="1"/>
  <c r="M18" i="26"/>
  <c r="L18" i="28" s="1"/>
  <c r="J30" i="26"/>
  <c r="I30" i="26" s="1"/>
  <c r="B30" i="28" s="1"/>
  <c r="C28" i="26"/>
  <c r="C9" i="28"/>
  <c r="S15" i="28"/>
  <c r="W48" i="1"/>
  <c r="AO48" i="1" s="1"/>
  <c r="BD48" i="1" s="1"/>
  <c r="W47" i="1"/>
  <c r="AO47" i="1" s="1"/>
  <c r="BD47" i="1" s="1"/>
  <c r="W224" i="33" s="1"/>
  <c r="W46" i="1"/>
  <c r="AO46" i="1" s="1"/>
  <c r="BD46" i="1" s="1"/>
  <c r="W30" i="1"/>
  <c r="AO30" i="1" s="1"/>
  <c r="BD30" i="1" s="1"/>
  <c r="W29" i="1"/>
  <c r="AO29" i="1" s="1"/>
  <c r="BD29" i="1" s="1"/>
  <c r="W125" i="33" s="1"/>
  <c r="W28" i="1"/>
  <c r="AO28" i="1" s="1"/>
  <c r="BD28" i="1" s="1"/>
  <c r="W36" i="1"/>
  <c r="AO36" i="1" s="1"/>
  <c r="BD36" i="1" s="1"/>
  <c r="W35" i="1"/>
  <c r="AO35" i="1" s="1"/>
  <c r="BD35" i="1" s="1"/>
  <c r="W158" i="33" s="1"/>
  <c r="W34" i="1"/>
  <c r="AO34" i="1" s="1"/>
  <c r="BD34" i="1" s="1"/>
  <c r="W18" i="1"/>
  <c r="AO18" i="1" s="1"/>
  <c r="BD18" i="1" s="1"/>
  <c r="W17" i="1"/>
  <c r="AO17" i="1" s="1"/>
  <c r="BD17" i="1" s="1"/>
  <c r="W57" i="33" s="1"/>
  <c r="W16" i="1"/>
  <c r="AO16" i="1" s="1"/>
  <c r="BD16" i="1" s="1"/>
  <c r="W19" i="1"/>
  <c r="AO19" i="1" s="1"/>
  <c r="BD19" i="1" s="1"/>
  <c r="W13" i="1"/>
  <c r="AO13" i="1" s="1"/>
  <c r="BD13" i="1" s="1"/>
  <c r="W39" i="1"/>
  <c r="AO39" i="1" s="1"/>
  <c r="BD39" i="1" s="1"/>
  <c r="W38" i="1"/>
  <c r="AO38" i="1" s="1"/>
  <c r="BD38" i="1" s="1"/>
  <c r="W37" i="1"/>
  <c r="AO37" i="1" s="1"/>
  <c r="BD37" i="1" s="1"/>
  <c r="W21" i="1"/>
  <c r="AO21" i="1" s="1"/>
  <c r="BD21" i="1" s="1"/>
  <c r="W20" i="1"/>
  <c r="AO20" i="1" s="1"/>
  <c r="BD20" i="1" s="1"/>
  <c r="W45" i="1"/>
  <c r="AO45" i="1" s="1"/>
  <c r="BD45" i="1" s="1"/>
  <c r="W44" i="1"/>
  <c r="AO44" i="1" s="1"/>
  <c r="BD44" i="1" s="1"/>
  <c r="W43" i="1"/>
  <c r="AO43" i="1" s="1"/>
  <c r="BD43" i="1" s="1"/>
  <c r="W27" i="1"/>
  <c r="AO27" i="1" s="1"/>
  <c r="BD27" i="1" s="1"/>
  <c r="W26" i="1"/>
  <c r="AO26" i="1" s="1"/>
  <c r="BD26" i="1" s="1"/>
  <c r="W25" i="1"/>
  <c r="AO25" i="1" s="1"/>
  <c r="BD25" i="1" s="1"/>
  <c r="W12" i="1"/>
  <c r="AO12" i="1" s="1"/>
  <c r="BD12" i="1" s="1"/>
  <c r="W50" i="1"/>
  <c r="AO50" i="1" s="1"/>
  <c r="BD50" i="1" s="1"/>
  <c r="W49" i="1"/>
  <c r="AO49" i="1" s="1"/>
  <c r="BD49" i="1" s="1"/>
  <c r="W23" i="1"/>
  <c r="AO23" i="1" s="1"/>
  <c r="BD23" i="1" s="1"/>
  <c r="W91" i="33" s="1"/>
  <c r="W15" i="1"/>
  <c r="AO15" i="1" s="1"/>
  <c r="BD15" i="1" s="1"/>
  <c r="W42" i="1"/>
  <c r="AO42" i="1" s="1"/>
  <c r="BD42" i="1" s="1"/>
  <c r="W11" i="1"/>
  <c r="AO11" i="1" s="1"/>
  <c r="BD11" i="1" s="1"/>
  <c r="W25" i="33" s="1"/>
  <c r="W40" i="1"/>
  <c r="AO40" i="1" s="1"/>
  <c r="BD40" i="1" s="1"/>
  <c r="W32" i="1"/>
  <c r="AO32" i="1" s="1"/>
  <c r="BD32" i="1" s="1"/>
  <c r="W24" i="1"/>
  <c r="AO24" i="1" s="1"/>
  <c r="BD24" i="1" s="1"/>
  <c r="W22" i="1"/>
  <c r="AO22" i="1" s="1"/>
  <c r="BD22" i="1" s="1"/>
  <c r="W14" i="1"/>
  <c r="AO14" i="1" s="1"/>
  <c r="BD14" i="1" s="1"/>
  <c r="W41" i="1"/>
  <c r="AO41" i="1" s="1"/>
  <c r="BD41" i="1" s="1"/>
  <c r="W192" i="33" s="1"/>
  <c r="W33" i="1"/>
  <c r="AO33" i="1" s="1"/>
  <c r="BD33" i="1" s="1"/>
  <c r="W31" i="1"/>
  <c r="AO31" i="1" s="1"/>
  <c r="BD31" i="1" s="1"/>
  <c r="M13" i="26"/>
  <c r="J27" i="26"/>
  <c r="I27" i="26" s="1"/>
  <c r="B27" i="28" s="1"/>
  <c r="T11" i="26"/>
  <c r="S11" i="26" s="1"/>
  <c r="C12" i="28"/>
  <c r="J21" i="26"/>
  <c r="I21" i="26" s="1"/>
  <c r="B21" i="28" s="1"/>
  <c r="J22" i="26"/>
  <c r="I22" i="26" s="1"/>
  <c r="B22" i="28" s="1"/>
  <c r="V15" i="33"/>
  <c r="Q30" i="27" s="1"/>
  <c r="Q31" i="27" s="1"/>
  <c r="V11" i="33"/>
  <c r="C13" i="28"/>
  <c r="J51" i="26"/>
  <c r="I51" i="26" s="1"/>
  <c r="B51" i="28" s="1"/>
  <c r="S16" i="26"/>
  <c r="J11" i="26"/>
  <c r="I11" i="26" s="1"/>
  <c r="B11" i="28" s="1"/>
  <c r="J48" i="26"/>
  <c r="I48" i="26" s="1"/>
  <c r="B48" i="28" s="1"/>
  <c r="J8" i="26"/>
  <c r="I8" i="26" s="1"/>
  <c r="J16" i="26"/>
  <c r="I16" i="26" s="1"/>
  <c r="B16" i="28" s="1"/>
  <c r="I26" i="26"/>
  <c r="B26" i="28" s="1"/>
  <c r="L14" i="30"/>
  <c r="J34" i="26"/>
  <c r="I34" i="26" s="1"/>
  <c r="B34" i="28" s="1"/>
  <c r="C11" i="28"/>
  <c r="B17" i="28"/>
  <c r="C17" i="28"/>
  <c r="C14" i="28"/>
  <c r="C10" i="28"/>
  <c r="B13" i="28"/>
  <c r="J29" i="26"/>
  <c r="I29" i="26" s="1"/>
  <c r="B29" i="28" s="1"/>
  <c r="J10" i="26"/>
  <c r="I10" i="26" s="1"/>
  <c r="B10" i="28" s="1"/>
  <c r="L12" i="28"/>
  <c r="T17" i="26"/>
  <c r="S17" i="26" s="1"/>
  <c r="J28" i="26"/>
  <c r="I28" i="26" s="1"/>
  <c r="C16" i="28"/>
  <c r="B9" i="28"/>
  <c r="J26" i="27" l="1"/>
  <c r="B28" i="28"/>
  <c r="K6" i="26"/>
  <c r="F6" i="27" s="1"/>
  <c r="F8" i="27" s="1"/>
  <c r="G8" i="27" s="1"/>
  <c r="B8" i="28"/>
  <c r="N6" i="26"/>
  <c r="J6" i="27" s="1"/>
  <c r="J8" i="27" s="1"/>
  <c r="K8" i="27" s="1"/>
  <c r="I17" i="28"/>
  <c r="Q6" i="26"/>
  <c r="N6" i="27" s="1"/>
  <c r="N8" i="27" s="1"/>
  <c r="O8" i="27" s="1"/>
  <c r="W28" i="33"/>
  <c r="W26" i="33"/>
  <c r="W27" i="33"/>
  <c r="J19" i="28" s="1"/>
  <c r="I19" i="28" s="1"/>
  <c r="B19" i="30" s="1"/>
  <c r="W209" i="33"/>
  <c r="W213" i="33"/>
  <c r="W210" i="33"/>
  <c r="W206" i="33"/>
  <c r="W212" i="33"/>
  <c r="W208" i="33"/>
  <c r="W211" i="33"/>
  <c r="W207" i="33"/>
  <c r="W31" i="33"/>
  <c r="J9" i="28" s="1"/>
  <c r="I9" i="28" s="1"/>
  <c r="W30" i="33"/>
  <c r="W32" i="33"/>
  <c r="W29" i="33"/>
  <c r="U6" i="26"/>
  <c r="B6" i="27" s="1"/>
  <c r="B8" i="27" s="1"/>
  <c r="C8" i="27" s="1"/>
  <c r="L13" i="28"/>
  <c r="W37" i="33"/>
  <c r="W36" i="33"/>
  <c r="W33" i="33"/>
  <c r="W38" i="33"/>
  <c r="W35" i="33"/>
  <c r="W34" i="33"/>
  <c r="W194" i="33"/>
  <c r="W195" i="33"/>
  <c r="W193" i="33"/>
  <c r="W98" i="33"/>
  <c r="W97" i="33"/>
  <c r="W99" i="33"/>
  <c r="W96" i="33"/>
  <c r="W68" i="33"/>
  <c r="W70" i="33"/>
  <c r="W67" i="33"/>
  <c r="W71" i="33"/>
  <c r="W66" i="33"/>
  <c r="W69" i="33"/>
  <c r="W65" i="33"/>
  <c r="W62" i="33"/>
  <c r="W64" i="33"/>
  <c r="W61" i="33"/>
  <c r="W63" i="33"/>
  <c r="W159" i="33"/>
  <c r="W162" i="33"/>
  <c r="W160" i="33"/>
  <c r="W161" i="33"/>
  <c r="W226" i="33"/>
  <c r="W10" i="33" s="1"/>
  <c r="M14" i="30" s="1"/>
  <c r="L14" i="32" s="1"/>
  <c r="S14" i="32" s="1"/>
  <c r="W227" i="33"/>
  <c r="W225" i="33"/>
  <c r="S16" i="28"/>
  <c r="S18" i="28"/>
  <c r="W86" i="33"/>
  <c r="W9" i="33" s="1"/>
  <c r="W88" i="33"/>
  <c r="W82" i="33"/>
  <c r="W85" i="33"/>
  <c r="W87" i="33"/>
  <c r="W81" i="33"/>
  <c r="W89" i="33"/>
  <c r="W83" i="33"/>
  <c r="W90" i="33"/>
  <c r="W84" i="33"/>
  <c r="W43" i="33"/>
  <c r="W42" i="33"/>
  <c r="W39" i="33"/>
  <c r="W44" i="33"/>
  <c r="W41" i="33"/>
  <c r="W40" i="33"/>
  <c r="W45" i="33"/>
  <c r="W46" i="33"/>
  <c r="W104" i="33"/>
  <c r="W100" i="33"/>
  <c r="W103" i="33"/>
  <c r="W101" i="33"/>
  <c r="W105" i="33"/>
  <c r="W102" i="33"/>
  <c r="W80" i="33"/>
  <c r="W74" i="33"/>
  <c r="W76" i="33"/>
  <c r="W79" i="33"/>
  <c r="W73" i="33"/>
  <c r="W75" i="33"/>
  <c r="W77" i="33"/>
  <c r="W78" i="33"/>
  <c r="W72" i="33"/>
  <c r="W55" i="33"/>
  <c r="W49" i="33"/>
  <c r="W54" i="33"/>
  <c r="W48" i="33"/>
  <c r="W56" i="33"/>
  <c r="W50" i="33"/>
  <c r="W47" i="33"/>
  <c r="W51" i="33"/>
  <c r="C15" i="28" s="1"/>
  <c r="W53" i="33"/>
  <c r="W52" i="33"/>
  <c r="W8" i="33" s="1"/>
  <c r="W122" i="33"/>
  <c r="W116" i="33"/>
  <c r="W124" i="33"/>
  <c r="W118" i="33"/>
  <c r="W121" i="33"/>
  <c r="W115" i="33"/>
  <c r="C25" i="28" s="1"/>
  <c r="W119" i="33"/>
  <c r="W123" i="33"/>
  <c r="W117" i="33"/>
  <c r="C29" i="28" s="1"/>
  <c r="W120" i="33"/>
  <c r="W94" i="33"/>
  <c r="W92" i="33"/>
  <c r="J26" i="28" s="1"/>
  <c r="I26" i="28" s="1"/>
  <c r="W93" i="33"/>
  <c r="W95" i="33"/>
  <c r="W110" i="33"/>
  <c r="W112" i="33"/>
  <c r="W106" i="33"/>
  <c r="W109" i="33"/>
  <c r="W113" i="33"/>
  <c r="W107" i="33"/>
  <c r="C27" i="28" s="1"/>
  <c r="W111" i="33"/>
  <c r="W108" i="33"/>
  <c r="W114" i="33"/>
  <c r="W163" i="33"/>
  <c r="W165" i="33"/>
  <c r="W166" i="33"/>
  <c r="W164" i="33"/>
  <c r="S14" i="30"/>
  <c r="W133" i="33"/>
  <c r="W132" i="33"/>
  <c r="W130" i="33"/>
  <c r="W131" i="33"/>
  <c r="W139" i="33"/>
  <c r="W135" i="33"/>
  <c r="W138" i="33"/>
  <c r="W136" i="33"/>
  <c r="W134" i="33"/>
  <c r="W137" i="33"/>
  <c r="W232" i="33"/>
  <c r="W233" i="33"/>
  <c r="W228" i="33"/>
  <c r="W229" i="33"/>
  <c r="W231" i="33"/>
  <c r="W230" i="33"/>
  <c r="W198" i="33"/>
  <c r="W199" i="33"/>
  <c r="W197" i="33"/>
  <c r="W196" i="33"/>
  <c r="W172" i="33"/>
  <c r="W169" i="33"/>
  <c r="W171" i="33"/>
  <c r="W168" i="33"/>
  <c r="W170" i="33"/>
  <c r="W13" i="33" s="1"/>
  <c r="O30" i="29" s="1"/>
  <c r="O31" i="29" s="1"/>
  <c r="W167" i="33"/>
  <c r="M15" i="28" s="1"/>
  <c r="W60" i="33"/>
  <c r="W58" i="33"/>
  <c r="W59" i="33"/>
  <c r="W127" i="33"/>
  <c r="C38" i="28" s="1"/>
  <c r="W129" i="33"/>
  <c r="W126" i="33"/>
  <c r="W128" i="33"/>
  <c r="W145" i="33"/>
  <c r="W147" i="33"/>
  <c r="W141" i="33"/>
  <c r="W144" i="33"/>
  <c r="W142" i="33"/>
  <c r="W146" i="33"/>
  <c r="W140" i="33"/>
  <c r="W143" i="33"/>
  <c r="W188" i="33"/>
  <c r="W182" i="33"/>
  <c r="W190" i="33"/>
  <c r="W184" i="33"/>
  <c r="W187" i="33"/>
  <c r="W12" i="33" s="1"/>
  <c r="W181" i="33"/>
  <c r="W189" i="33"/>
  <c r="W183" i="33"/>
  <c r="W191" i="33"/>
  <c r="W185" i="33"/>
  <c r="W186" i="33"/>
  <c r="W238" i="33"/>
  <c r="W239" i="33"/>
  <c r="W240" i="33"/>
  <c r="W234" i="33"/>
  <c r="W7" i="33" s="1"/>
  <c r="W235" i="33"/>
  <c r="W237" i="33"/>
  <c r="W19" i="33" s="1"/>
  <c r="W236" i="33"/>
  <c r="W204" i="33"/>
  <c r="W205" i="33"/>
  <c r="W200" i="33"/>
  <c r="W203" i="33"/>
  <c r="W202" i="33"/>
  <c r="W201" i="33"/>
  <c r="C32" i="28" s="1"/>
  <c r="W176" i="33"/>
  <c r="W178" i="33"/>
  <c r="W175" i="33"/>
  <c r="W179" i="33"/>
  <c r="W173" i="33"/>
  <c r="W180" i="33"/>
  <c r="W174" i="33"/>
  <c r="W177" i="33"/>
  <c r="W157" i="33"/>
  <c r="W151" i="33"/>
  <c r="W153" i="33"/>
  <c r="W156" i="33"/>
  <c r="W150" i="33"/>
  <c r="W154" i="33"/>
  <c r="W148" i="33"/>
  <c r="T12" i="28" s="1"/>
  <c r="S12" i="28" s="1"/>
  <c r="W152" i="33"/>
  <c r="W149" i="33"/>
  <c r="T17" i="28" s="1"/>
  <c r="S17" i="28" s="1"/>
  <c r="W155" i="33"/>
  <c r="W220" i="33"/>
  <c r="W214" i="33"/>
  <c r="W221" i="33"/>
  <c r="W215" i="33"/>
  <c r="J45" i="28" s="1"/>
  <c r="I45" i="28" s="1"/>
  <c r="B45" i="30" s="1"/>
  <c r="W222" i="33"/>
  <c r="W216" i="33"/>
  <c r="C48" i="28" s="1"/>
  <c r="W223" i="33"/>
  <c r="W217" i="33"/>
  <c r="W16" i="33" s="1"/>
  <c r="G25" i="29" s="1"/>
  <c r="G26" i="29" s="1"/>
  <c r="W219" i="33"/>
  <c r="W218" i="33"/>
  <c r="J23" i="28" l="1"/>
  <c r="I23" i="28" s="1"/>
  <c r="C26" i="28"/>
  <c r="B26" i="30" s="1"/>
  <c r="J34" i="28"/>
  <c r="I34" i="28" s="1"/>
  <c r="B34" i="30" s="1"/>
  <c r="J51" i="28"/>
  <c r="I51" i="28" s="1"/>
  <c r="B51" i="30" s="1"/>
  <c r="J49" i="28"/>
  <c r="I49" i="28" s="1"/>
  <c r="B49" i="30" s="1"/>
  <c r="M11" i="28"/>
  <c r="L11" i="30" s="1"/>
  <c r="J22" i="28"/>
  <c r="I22" i="28" s="1"/>
  <c r="B22" i="30" s="1"/>
  <c r="M16" i="28"/>
  <c r="L16" i="30" s="1"/>
  <c r="M17" i="28"/>
  <c r="L17" i="30" s="1"/>
  <c r="J14" i="28"/>
  <c r="I14" i="28" s="1"/>
  <c r="M13" i="28"/>
  <c r="L13" i="30" s="1"/>
  <c r="X48" i="1"/>
  <c r="AP48" i="1" s="1"/>
  <c r="BE48" i="1" s="1"/>
  <c r="X45" i="1"/>
  <c r="AP45" i="1" s="1"/>
  <c r="BE45" i="1" s="1"/>
  <c r="X42" i="1"/>
  <c r="AP42" i="1" s="1"/>
  <c r="BE42" i="1" s="1"/>
  <c r="X39" i="1"/>
  <c r="AP39" i="1" s="1"/>
  <c r="BE39" i="1" s="1"/>
  <c r="X36" i="1"/>
  <c r="AP36" i="1" s="1"/>
  <c r="BE36" i="1" s="1"/>
  <c r="X33" i="1"/>
  <c r="AP33" i="1" s="1"/>
  <c r="BE33" i="1" s="1"/>
  <c r="X30" i="1"/>
  <c r="AP30" i="1" s="1"/>
  <c r="BE30" i="1" s="1"/>
  <c r="X27" i="1"/>
  <c r="AP27" i="1" s="1"/>
  <c r="BE27" i="1" s="1"/>
  <c r="X24" i="1"/>
  <c r="AP24" i="1" s="1"/>
  <c r="BE24" i="1" s="1"/>
  <c r="X21" i="1"/>
  <c r="AP21" i="1" s="1"/>
  <c r="BE21" i="1" s="1"/>
  <c r="X18" i="1"/>
  <c r="AP18" i="1" s="1"/>
  <c r="BE18" i="1" s="1"/>
  <c r="X15" i="1"/>
  <c r="AP15" i="1" s="1"/>
  <c r="BE15" i="1" s="1"/>
  <c r="X50" i="1"/>
  <c r="AP50" i="1" s="1"/>
  <c r="BE50" i="1" s="1"/>
  <c r="X49" i="1"/>
  <c r="AP49" i="1" s="1"/>
  <c r="BE49" i="1" s="1"/>
  <c r="X32" i="1"/>
  <c r="AP32" i="1" s="1"/>
  <c r="BE32" i="1" s="1"/>
  <c r="X31" i="1"/>
  <c r="AP31" i="1" s="1"/>
  <c r="BE31" i="1" s="1"/>
  <c r="X14" i="1"/>
  <c r="AP14" i="1" s="1"/>
  <c r="BE14" i="1" s="1"/>
  <c r="X11" i="1"/>
  <c r="AP11" i="1" s="1"/>
  <c r="BE11" i="1" s="1"/>
  <c r="X25" i="33" s="1"/>
  <c r="X38" i="1"/>
  <c r="AP38" i="1" s="1"/>
  <c r="BE38" i="1" s="1"/>
  <c r="X37" i="1"/>
  <c r="AP37" i="1" s="1"/>
  <c r="BE37" i="1" s="1"/>
  <c r="X20" i="1"/>
  <c r="AP20" i="1" s="1"/>
  <c r="BE20" i="1" s="1"/>
  <c r="X19" i="1"/>
  <c r="AP19" i="1" s="1"/>
  <c r="BE19" i="1" s="1"/>
  <c r="X13" i="1"/>
  <c r="AP13" i="1" s="1"/>
  <c r="BE13" i="1" s="1"/>
  <c r="X41" i="1"/>
  <c r="AP41" i="1" s="1"/>
  <c r="BE41" i="1" s="1"/>
  <c r="X192" i="33" s="1"/>
  <c r="X40" i="1"/>
  <c r="AP40" i="1" s="1"/>
  <c r="BE40" i="1" s="1"/>
  <c r="X23" i="1"/>
  <c r="AP23" i="1" s="1"/>
  <c r="BE23" i="1" s="1"/>
  <c r="X91" i="33" s="1"/>
  <c r="X22" i="1"/>
  <c r="AP22" i="1" s="1"/>
  <c r="BE22" i="1" s="1"/>
  <c r="X47" i="1"/>
  <c r="AP47" i="1" s="1"/>
  <c r="BE47" i="1" s="1"/>
  <c r="X224" i="33" s="1"/>
  <c r="X46" i="1"/>
  <c r="AP46" i="1" s="1"/>
  <c r="BE46" i="1" s="1"/>
  <c r="X29" i="1"/>
  <c r="AP29" i="1" s="1"/>
  <c r="BE29" i="1" s="1"/>
  <c r="X125" i="33" s="1"/>
  <c r="X28" i="1"/>
  <c r="AP28" i="1" s="1"/>
  <c r="BE28" i="1" s="1"/>
  <c r="X25" i="1"/>
  <c r="AP25" i="1" s="1"/>
  <c r="BE25" i="1" s="1"/>
  <c r="X34" i="1"/>
  <c r="AP34" i="1" s="1"/>
  <c r="BE34" i="1" s="1"/>
  <c r="X12" i="1"/>
  <c r="AP12" i="1" s="1"/>
  <c r="BE12" i="1" s="1"/>
  <c r="X16" i="1"/>
  <c r="AP16" i="1" s="1"/>
  <c r="BE16" i="1" s="1"/>
  <c r="X44" i="1"/>
  <c r="AP44" i="1" s="1"/>
  <c r="BE44" i="1" s="1"/>
  <c r="X35" i="1"/>
  <c r="AP35" i="1" s="1"/>
  <c r="BE35" i="1" s="1"/>
  <c r="X158" i="33" s="1"/>
  <c r="X26" i="1"/>
  <c r="AP26" i="1" s="1"/>
  <c r="BE26" i="1" s="1"/>
  <c r="X43" i="1"/>
  <c r="AP43" i="1" s="1"/>
  <c r="BE43" i="1" s="1"/>
  <c r="X17" i="1"/>
  <c r="AP17" i="1" s="1"/>
  <c r="BE17" i="1" s="1"/>
  <c r="X57" i="33" s="1"/>
  <c r="C8" i="30"/>
  <c r="C9" i="30"/>
  <c r="C11" i="30"/>
  <c r="J36" i="28"/>
  <c r="I36" i="28" s="1"/>
  <c r="B36" i="30" s="1"/>
  <c r="J39" i="28"/>
  <c r="I39" i="28" s="1"/>
  <c r="B39" i="30" s="1"/>
  <c r="J31" i="28"/>
  <c r="I31" i="28" s="1"/>
  <c r="B31" i="30" s="1"/>
  <c r="J15" i="28"/>
  <c r="I15" i="28" s="1"/>
  <c r="B15" i="30" s="1"/>
  <c r="C16" i="30"/>
  <c r="W11" i="33"/>
  <c r="C17" i="30"/>
  <c r="J38" i="28"/>
  <c r="I38" i="28" s="1"/>
  <c r="B38" i="30" s="1"/>
  <c r="L15" i="30"/>
  <c r="C14" i="30"/>
  <c r="W18" i="33"/>
  <c r="I25" i="29" s="1"/>
  <c r="I26" i="29" s="1"/>
  <c r="J28" i="28"/>
  <c r="I28" i="28" s="1"/>
  <c r="T13" i="28"/>
  <c r="S13" i="28" s="1"/>
  <c r="J37" i="28"/>
  <c r="I37" i="28" s="1"/>
  <c r="B37" i="30" s="1"/>
  <c r="M12" i="28"/>
  <c r="J8" i="28"/>
  <c r="I8" i="28" s="1"/>
  <c r="B17" i="30"/>
  <c r="C10" i="30"/>
  <c r="B14" i="30"/>
  <c r="C13" i="30"/>
  <c r="T11" i="28"/>
  <c r="S11" i="28" s="1"/>
  <c r="J27" i="28"/>
  <c r="I27" i="28" s="1"/>
  <c r="B27" i="30" s="1"/>
  <c r="J10" i="28"/>
  <c r="I10" i="28" s="1"/>
  <c r="B10" i="30" s="1"/>
  <c r="B9" i="30"/>
  <c r="B25" i="30"/>
  <c r="W14" i="33"/>
  <c r="P30" i="29" s="1"/>
  <c r="P31" i="29" s="1"/>
  <c r="J48" i="28"/>
  <c r="I48" i="28" s="1"/>
  <c r="B48" i="30" s="1"/>
  <c r="J40" i="28"/>
  <c r="I40" i="28" s="1"/>
  <c r="B40" i="30" s="1"/>
  <c r="J29" i="28"/>
  <c r="I29" i="28" s="1"/>
  <c r="B29" i="30" s="1"/>
  <c r="C28" i="28"/>
  <c r="J21" i="28"/>
  <c r="I21" i="28" s="1"/>
  <c r="B21" i="30" s="1"/>
  <c r="W15" i="33"/>
  <c r="Q30" i="29" s="1"/>
  <c r="Q31" i="29" s="1"/>
  <c r="J12" i="28"/>
  <c r="I12" i="28" s="1"/>
  <c r="B12" i="30" s="1"/>
  <c r="C23" i="28"/>
  <c r="J32" i="28"/>
  <c r="I32" i="28" s="1"/>
  <c r="B32" i="30" s="1"/>
  <c r="J16" i="28"/>
  <c r="I16" i="28" s="1"/>
  <c r="B16" i="30" s="1"/>
  <c r="C12" i="30"/>
  <c r="M18" i="28"/>
  <c r="W17" i="33"/>
  <c r="H25" i="29" s="1"/>
  <c r="H26" i="29" s="1"/>
  <c r="J30" i="28"/>
  <c r="I30" i="28" s="1"/>
  <c r="B30" i="30" s="1"/>
  <c r="J11" i="28"/>
  <c r="I11" i="28" s="1"/>
  <c r="B11" i="30" s="1"/>
  <c r="J13" i="28"/>
  <c r="I13" i="28" s="1"/>
  <c r="B13" i="30" s="1"/>
  <c r="J26" i="29" l="1"/>
  <c r="N6" i="28"/>
  <c r="J6" i="29" s="1"/>
  <c r="J8" i="29" s="1"/>
  <c r="K8" i="29" s="1"/>
  <c r="X205" i="33"/>
  <c r="X200" i="33"/>
  <c r="X201" i="33"/>
  <c r="C32" i="30" s="1"/>
  <c r="X204" i="33"/>
  <c r="X203" i="33"/>
  <c r="X202" i="33"/>
  <c r="X44" i="33"/>
  <c r="X43" i="33"/>
  <c r="X42" i="33"/>
  <c r="X41" i="33"/>
  <c r="X40" i="33"/>
  <c r="X45" i="33"/>
  <c r="X46" i="33"/>
  <c r="X39" i="33"/>
  <c r="X146" i="33"/>
  <c r="X140" i="33"/>
  <c r="X142" i="33"/>
  <c r="X145" i="33"/>
  <c r="X147" i="33"/>
  <c r="X143" i="33"/>
  <c r="X141" i="33"/>
  <c r="X144" i="33"/>
  <c r="X56" i="33"/>
  <c r="X50" i="33"/>
  <c r="X55" i="33"/>
  <c r="X49" i="33"/>
  <c r="X48" i="33"/>
  <c r="X47" i="33"/>
  <c r="X51" i="33"/>
  <c r="C15" i="30" s="1"/>
  <c r="X53" i="33"/>
  <c r="X52" i="33"/>
  <c r="X8" i="33" s="1"/>
  <c r="X54" i="33"/>
  <c r="X221" i="33"/>
  <c r="X215" i="33"/>
  <c r="J45" i="30" s="1"/>
  <c r="I45" i="30" s="1"/>
  <c r="B45" i="32" s="1"/>
  <c r="X222" i="33"/>
  <c r="X216" i="33"/>
  <c r="C48" i="30" s="1"/>
  <c r="X223" i="33"/>
  <c r="X217" i="33"/>
  <c r="X16" i="33" s="1"/>
  <c r="G25" i="31" s="1"/>
  <c r="G26" i="31" s="1"/>
  <c r="X219" i="33"/>
  <c r="X218" i="33"/>
  <c r="X220" i="33"/>
  <c r="X214" i="33"/>
  <c r="X32" i="33"/>
  <c r="X31" i="33"/>
  <c r="J9" i="30" s="1"/>
  <c r="I9" i="30" s="1"/>
  <c r="X30" i="33"/>
  <c r="X29" i="33"/>
  <c r="X38" i="33"/>
  <c r="X37" i="33"/>
  <c r="X33" i="33"/>
  <c r="X36" i="33"/>
  <c r="X35" i="33"/>
  <c r="X34" i="33"/>
  <c r="X59" i="33"/>
  <c r="X60" i="33"/>
  <c r="X58" i="33"/>
  <c r="X160" i="33"/>
  <c r="X161" i="33"/>
  <c r="X159" i="33"/>
  <c r="X162" i="33"/>
  <c r="I17" i="30"/>
  <c r="X26" i="33"/>
  <c r="X27" i="33"/>
  <c r="J19" i="30" s="1"/>
  <c r="I19" i="30" s="1"/>
  <c r="B19" i="32" s="1"/>
  <c r="X28" i="33"/>
  <c r="X63" i="33"/>
  <c r="X62" i="33"/>
  <c r="X61" i="33"/>
  <c r="X64" i="33"/>
  <c r="X130" i="33"/>
  <c r="X133" i="33"/>
  <c r="X131" i="33"/>
  <c r="X132" i="33"/>
  <c r="X75" i="33"/>
  <c r="X77" i="33"/>
  <c r="X80" i="33"/>
  <c r="X74" i="33"/>
  <c r="X79" i="33"/>
  <c r="X73" i="33"/>
  <c r="X76" i="33"/>
  <c r="X78" i="33"/>
  <c r="X72" i="33"/>
  <c r="X177" i="33"/>
  <c r="X179" i="33"/>
  <c r="X173" i="33"/>
  <c r="X176" i="33"/>
  <c r="X178" i="33"/>
  <c r="X180" i="33"/>
  <c r="X174" i="33"/>
  <c r="X175" i="33"/>
  <c r="I25" i="30"/>
  <c r="X199" i="33"/>
  <c r="X198" i="33"/>
  <c r="X197" i="33"/>
  <c r="X196" i="33"/>
  <c r="X152" i="33"/>
  <c r="X154" i="33"/>
  <c r="X148" i="33"/>
  <c r="T12" i="30" s="1"/>
  <c r="X157" i="33"/>
  <c r="X151" i="33"/>
  <c r="X155" i="33"/>
  <c r="X153" i="33"/>
  <c r="X149" i="33"/>
  <c r="X156" i="33"/>
  <c r="X150" i="33"/>
  <c r="X87" i="33"/>
  <c r="X81" i="33"/>
  <c r="X89" i="33"/>
  <c r="X83" i="33"/>
  <c r="X86" i="33"/>
  <c r="X9" i="33" s="1"/>
  <c r="X85" i="33"/>
  <c r="X82" i="33"/>
  <c r="X84" i="33"/>
  <c r="X88" i="33"/>
  <c r="X90" i="33"/>
  <c r="X69" i="33"/>
  <c r="X71" i="33"/>
  <c r="X65" i="33"/>
  <c r="X68" i="33"/>
  <c r="X70" i="33"/>
  <c r="X66" i="33"/>
  <c r="X67" i="33"/>
  <c r="X134" i="33"/>
  <c r="X136" i="33"/>
  <c r="X139" i="33"/>
  <c r="J49" i="30" s="1"/>
  <c r="I49" i="30" s="1"/>
  <c r="B49" i="32" s="1"/>
  <c r="X137" i="33"/>
  <c r="X135" i="33"/>
  <c r="X138" i="33"/>
  <c r="X93" i="33"/>
  <c r="X94" i="33"/>
  <c r="X92" i="33"/>
  <c r="J26" i="30" s="1"/>
  <c r="I26" i="30" s="1"/>
  <c r="X95" i="33"/>
  <c r="X193" i="33"/>
  <c r="X194" i="33"/>
  <c r="X195" i="33"/>
  <c r="B23" i="30"/>
  <c r="B28" i="30"/>
  <c r="L12" i="30"/>
  <c r="S15" i="30"/>
  <c r="X105" i="33"/>
  <c r="X101" i="33"/>
  <c r="X104" i="33"/>
  <c r="X102" i="33"/>
  <c r="X100" i="33"/>
  <c r="X103" i="33"/>
  <c r="X99" i="33"/>
  <c r="X98" i="33"/>
  <c r="X96" i="33"/>
  <c r="X97" i="33"/>
  <c r="X164" i="33"/>
  <c r="X166" i="33"/>
  <c r="X163" i="33"/>
  <c r="X165" i="33"/>
  <c r="X233" i="33"/>
  <c r="X228" i="33"/>
  <c r="X229" i="33"/>
  <c r="X231" i="33"/>
  <c r="X232" i="33"/>
  <c r="X230" i="33"/>
  <c r="X111" i="33"/>
  <c r="X113" i="33"/>
  <c r="X107" i="33"/>
  <c r="C27" i="30" s="1"/>
  <c r="X110" i="33"/>
  <c r="X114" i="33"/>
  <c r="X112" i="33"/>
  <c r="X108" i="33"/>
  <c r="X106" i="33"/>
  <c r="X109" i="33"/>
  <c r="X209" i="33"/>
  <c r="X210" i="33"/>
  <c r="X213" i="33"/>
  <c r="X206" i="33"/>
  <c r="X211" i="33"/>
  <c r="X207" i="33"/>
  <c r="X208" i="33"/>
  <c r="X212" i="33"/>
  <c r="K6" i="28"/>
  <c r="F6" i="29" s="1"/>
  <c r="F8" i="29" s="1"/>
  <c r="G8" i="29" s="1"/>
  <c r="U6" i="28"/>
  <c r="B6" i="29" s="1"/>
  <c r="B8" i="29" s="1"/>
  <c r="C8" i="29" s="1"/>
  <c r="B8" i="30"/>
  <c r="L18" i="30"/>
  <c r="Q6" i="28"/>
  <c r="N6" i="29" s="1"/>
  <c r="N8" i="29" s="1"/>
  <c r="O8" i="29" s="1"/>
  <c r="S16" i="30"/>
  <c r="X123" i="33"/>
  <c r="X117" i="33"/>
  <c r="C29" i="30" s="1"/>
  <c r="X119" i="33"/>
  <c r="X122" i="33"/>
  <c r="X116" i="33"/>
  <c r="X124" i="33"/>
  <c r="X120" i="33"/>
  <c r="X118" i="33"/>
  <c r="X121" i="33"/>
  <c r="X115" i="33"/>
  <c r="C25" i="30" s="1"/>
  <c r="B25" i="32" s="1"/>
  <c r="I25" i="32" s="1"/>
  <c r="X189" i="33"/>
  <c r="X183" i="33"/>
  <c r="X191" i="33"/>
  <c r="X185" i="33"/>
  <c r="X188" i="33"/>
  <c r="X182" i="33"/>
  <c r="X187" i="33"/>
  <c r="X12" i="33" s="1"/>
  <c r="X181" i="33"/>
  <c r="X186" i="33"/>
  <c r="X184" i="33"/>
  <c r="X190" i="33"/>
  <c r="X170" i="33"/>
  <c r="X13" i="33" s="1"/>
  <c r="O30" i="31" s="1"/>
  <c r="O31" i="31" s="1"/>
  <c r="X169" i="33"/>
  <c r="X172" i="33"/>
  <c r="X171" i="33"/>
  <c r="X167" i="33"/>
  <c r="M15" i="30" s="1"/>
  <c r="X168" i="33"/>
  <c r="X239" i="33"/>
  <c r="X240" i="33"/>
  <c r="X234" i="33"/>
  <c r="X7" i="33" s="1"/>
  <c r="X235" i="33"/>
  <c r="X237" i="33"/>
  <c r="X19" i="33" s="1"/>
  <c r="X236" i="33"/>
  <c r="X238" i="33"/>
  <c r="X128" i="33"/>
  <c r="X127" i="33"/>
  <c r="C38" i="30" s="1"/>
  <c r="X129" i="33"/>
  <c r="X126" i="33"/>
  <c r="J38" i="30" s="1"/>
  <c r="I38" i="30" s="1"/>
  <c r="X227" i="33"/>
  <c r="X225" i="33"/>
  <c r="X226" i="33"/>
  <c r="X10" i="33" s="1"/>
  <c r="M14" i="32" s="1"/>
  <c r="C28" i="30" l="1"/>
  <c r="J15" i="30"/>
  <c r="I15" i="30" s="1"/>
  <c r="B15" i="32" s="1"/>
  <c r="M12" i="30"/>
  <c r="L12" i="32" s="1"/>
  <c r="M13" i="30"/>
  <c r="L13" i="32" s="1"/>
  <c r="M18" i="30"/>
  <c r="L18" i="32" s="1"/>
  <c r="S18" i="32" s="1"/>
  <c r="B38" i="32"/>
  <c r="X18" i="33"/>
  <c r="I25" i="31" s="1"/>
  <c r="I26" i="31" s="1"/>
  <c r="J27" i="30"/>
  <c r="I27" i="30" s="1"/>
  <c r="B27" i="32" s="1"/>
  <c r="C23" i="30"/>
  <c r="M11" i="30"/>
  <c r="L11" i="32" s="1"/>
  <c r="J14" i="30"/>
  <c r="I14" i="30" s="1"/>
  <c r="B14" i="32" s="1"/>
  <c r="J23" i="30"/>
  <c r="Y35" i="1"/>
  <c r="Y34" i="1"/>
  <c r="Y33" i="1"/>
  <c r="Y17" i="1"/>
  <c r="Y16" i="1"/>
  <c r="Y15" i="1"/>
  <c r="Y38" i="1"/>
  <c r="Y41" i="1"/>
  <c r="Y40" i="1"/>
  <c r="Y39" i="1"/>
  <c r="Y23" i="1"/>
  <c r="Y22" i="1"/>
  <c r="Y21" i="1"/>
  <c r="Y12" i="1"/>
  <c r="Y44" i="1"/>
  <c r="Y43" i="1"/>
  <c r="Y42" i="1"/>
  <c r="Y26" i="1"/>
  <c r="Y25" i="1"/>
  <c r="Y24" i="1"/>
  <c r="Y50" i="1"/>
  <c r="Y49" i="1"/>
  <c r="Y48" i="1"/>
  <c r="Y32" i="1"/>
  <c r="Y31" i="1"/>
  <c r="Y30" i="1"/>
  <c r="Y14" i="1"/>
  <c r="Y11" i="1"/>
  <c r="Y37" i="1"/>
  <c r="Y27" i="1"/>
  <c r="Y18" i="1"/>
  <c r="Y20" i="1"/>
  <c r="Y13" i="1"/>
  <c r="Y46" i="1"/>
  <c r="Y47" i="1"/>
  <c r="Y19" i="1"/>
  <c r="Y28" i="1"/>
  <c r="Y36" i="1"/>
  <c r="Y29" i="1"/>
  <c r="Y45" i="1"/>
  <c r="S12" i="30"/>
  <c r="J40" i="30"/>
  <c r="I40" i="30" s="1"/>
  <c r="B40" i="32" s="1"/>
  <c r="X17" i="33"/>
  <c r="H25" i="31" s="1"/>
  <c r="H26" i="31" s="1"/>
  <c r="I23" i="30"/>
  <c r="J34" i="30"/>
  <c r="I34" i="30" s="1"/>
  <c r="B34" i="32" s="1"/>
  <c r="T13" i="30"/>
  <c r="S13" i="30" s="1"/>
  <c r="J48" i="30"/>
  <c r="I48" i="30" s="1"/>
  <c r="B48" i="32" s="1"/>
  <c r="J8" i="30"/>
  <c r="I8" i="30" s="1"/>
  <c r="B8" i="32" s="1"/>
  <c r="B17" i="32"/>
  <c r="I17" i="32" s="1"/>
  <c r="J12" i="30"/>
  <c r="I12" i="30" s="1"/>
  <c r="B12" i="32" s="1"/>
  <c r="J30" i="30"/>
  <c r="I30" i="30" s="1"/>
  <c r="B30" i="32" s="1"/>
  <c r="J31" i="30"/>
  <c r="I31" i="30" s="1"/>
  <c r="B31" i="32" s="1"/>
  <c r="C13" i="32"/>
  <c r="C14" i="32"/>
  <c r="X14" i="33"/>
  <c r="P30" i="31" s="1"/>
  <c r="P31" i="31" s="1"/>
  <c r="C10" i="32"/>
  <c r="J10" i="30"/>
  <c r="I10" i="30" s="1"/>
  <c r="B10" i="32" s="1"/>
  <c r="J28" i="30"/>
  <c r="I28" i="30" s="1"/>
  <c r="B28" i="32" s="1"/>
  <c r="C11" i="32"/>
  <c r="J36" i="30"/>
  <c r="I36" i="30" s="1"/>
  <c r="B36" i="32" s="1"/>
  <c r="S18" i="30"/>
  <c r="C26" i="30"/>
  <c r="J39" i="30"/>
  <c r="I39" i="30" s="1"/>
  <c r="B39" i="32" s="1"/>
  <c r="J32" i="30"/>
  <c r="I32" i="30" s="1"/>
  <c r="M17" i="30"/>
  <c r="X15" i="33"/>
  <c r="Q30" i="31" s="1"/>
  <c r="Q31" i="31" s="1"/>
  <c r="J11" i="30"/>
  <c r="I11" i="30" s="1"/>
  <c r="B11" i="32" s="1"/>
  <c r="C17" i="32"/>
  <c r="J51" i="30"/>
  <c r="I51" i="30" s="1"/>
  <c r="B51" i="32" s="1"/>
  <c r="T11" i="30"/>
  <c r="S11" i="30" s="1"/>
  <c r="J21" i="30"/>
  <c r="I21" i="30" s="1"/>
  <c r="B21" i="32" s="1"/>
  <c r="J13" i="30"/>
  <c r="I13" i="30" s="1"/>
  <c r="B13" i="32" s="1"/>
  <c r="X11" i="33"/>
  <c r="J37" i="30"/>
  <c r="I37" i="30" s="1"/>
  <c r="B37" i="32" s="1"/>
  <c r="C12" i="32"/>
  <c r="B9" i="32"/>
  <c r="L15" i="32"/>
  <c r="S15" i="32" s="1"/>
  <c r="M16" i="30"/>
  <c r="T17" i="30"/>
  <c r="S17" i="30" s="1"/>
  <c r="C8" i="32"/>
  <c r="J29" i="30"/>
  <c r="I29" i="30" s="1"/>
  <c r="B29" i="32" s="1"/>
  <c r="C9" i="32"/>
  <c r="J16" i="30"/>
  <c r="I16" i="30" s="1"/>
  <c r="J22" i="30"/>
  <c r="I22" i="30" s="1"/>
  <c r="B22" i="32" s="1"/>
  <c r="C16" i="32"/>
  <c r="B32" i="32"/>
  <c r="B23" i="32" l="1"/>
  <c r="J26" i="31"/>
  <c r="Q6" i="30"/>
  <c r="N6" i="31" s="1"/>
  <c r="N8" i="31" s="1"/>
  <c r="O8" i="31" s="1"/>
  <c r="Z29" i="1"/>
  <c r="AA29" i="1" s="1"/>
  <c r="AQ29" i="1"/>
  <c r="BF29" i="1" s="1"/>
  <c r="Z13" i="1"/>
  <c r="AA13" i="1" s="1"/>
  <c r="AQ13" i="1"/>
  <c r="BF13" i="1" s="1"/>
  <c r="Z14" i="1"/>
  <c r="AA14" i="1" s="1"/>
  <c r="AQ14" i="1"/>
  <c r="BF14" i="1" s="1"/>
  <c r="Z50" i="1"/>
  <c r="AA50" i="1" s="1"/>
  <c r="AQ50" i="1"/>
  <c r="BF50" i="1" s="1"/>
  <c r="Z44" i="1"/>
  <c r="AA44" i="1" s="1"/>
  <c r="AQ44" i="1"/>
  <c r="BF44" i="1" s="1"/>
  <c r="Z40" i="1"/>
  <c r="AA40" i="1" s="1"/>
  <c r="AQ40" i="1"/>
  <c r="BF40" i="1" s="1"/>
  <c r="Z33" i="1"/>
  <c r="AA33" i="1" s="1"/>
  <c r="AQ33" i="1"/>
  <c r="BF33" i="1" s="1"/>
  <c r="U6" i="30"/>
  <c r="B6" i="31" s="1"/>
  <c r="B8" i="31" s="1"/>
  <c r="C8" i="31" s="1"/>
  <c r="Z36" i="1"/>
  <c r="AA36" i="1" s="1"/>
  <c r="AQ36" i="1"/>
  <c r="BF36" i="1" s="1"/>
  <c r="Z20" i="1"/>
  <c r="AA20" i="1" s="1"/>
  <c r="AQ20" i="1"/>
  <c r="BF20" i="1" s="1"/>
  <c r="AQ30" i="1"/>
  <c r="BF30" i="1" s="1"/>
  <c r="Z30" i="1"/>
  <c r="AA30" i="1" s="1"/>
  <c r="Z24" i="1"/>
  <c r="AA24" i="1" s="1"/>
  <c r="AQ24" i="1"/>
  <c r="BF24" i="1" s="1"/>
  <c r="Z12" i="1"/>
  <c r="AA12" i="1" s="1"/>
  <c r="AQ12" i="1"/>
  <c r="BF12" i="1" s="1"/>
  <c r="Z41" i="1"/>
  <c r="AA41" i="1" s="1"/>
  <c r="AQ41" i="1"/>
  <c r="BF41" i="1" s="1"/>
  <c r="Z34" i="1"/>
  <c r="AA34" i="1" s="1"/>
  <c r="AQ34" i="1"/>
  <c r="BF34" i="1" s="1"/>
  <c r="B26" i="32"/>
  <c r="K6" i="30"/>
  <c r="F6" i="31" s="1"/>
  <c r="F8" i="31" s="1"/>
  <c r="G8" i="31" s="1"/>
  <c r="B16" i="32"/>
  <c r="AQ28" i="1"/>
  <c r="BF28" i="1" s="1"/>
  <c r="Z28" i="1"/>
  <c r="AA28" i="1" s="1"/>
  <c r="Z18" i="1"/>
  <c r="AA18" i="1" s="1"/>
  <c r="AQ18" i="1"/>
  <c r="BF18" i="1" s="1"/>
  <c r="AQ31" i="1"/>
  <c r="BF31" i="1" s="1"/>
  <c r="Z31" i="1"/>
  <c r="AA31" i="1" s="1"/>
  <c r="Z25" i="1"/>
  <c r="AA25" i="1" s="1"/>
  <c r="AQ25" i="1"/>
  <c r="BF25" i="1" s="1"/>
  <c r="Z21" i="1"/>
  <c r="AA21" i="1" s="1"/>
  <c r="AQ21" i="1"/>
  <c r="BF21" i="1" s="1"/>
  <c r="Z38" i="1"/>
  <c r="AA38" i="1" s="1"/>
  <c r="AQ38" i="1"/>
  <c r="BF38" i="1" s="1"/>
  <c r="Z35" i="1"/>
  <c r="AA35" i="1" s="1"/>
  <c r="AQ35" i="1"/>
  <c r="BF35" i="1" s="1"/>
  <c r="Z19" i="1"/>
  <c r="AA19" i="1" s="1"/>
  <c r="AQ19" i="1"/>
  <c r="BF19" i="1" s="1"/>
  <c r="Z27" i="1"/>
  <c r="AA27" i="1" s="1"/>
  <c r="AQ27" i="1"/>
  <c r="BF27" i="1" s="1"/>
  <c r="Z32" i="1"/>
  <c r="AA32" i="1" s="1"/>
  <c r="AQ32" i="1"/>
  <c r="BF32" i="1" s="1"/>
  <c r="Z26" i="1"/>
  <c r="AA26" i="1" s="1"/>
  <c r="AQ26" i="1"/>
  <c r="BF26" i="1" s="1"/>
  <c r="AQ22" i="1"/>
  <c r="BF22" i="1" s="1"/>
  <c r="Z22" i="1"/>
  <c r="AA22" i="1" s="1"/>
  <c r="Z15" i="1"/>
  <c r="AA15" i="1" s="1"/>
  <c r="AQ15" i="1"/>
  <c r="BF15" i="1" s="1"/>
  <c r="L17" i="32"/>
  <c r="N6" i="30"/>
  <c r="J6" i="31" s="1"/>
  <c r="J8" i="31" s="1"/>
  <c r="K8" i="31" s="1"/>
  <c r="AQ47" i="1"/>
  <c r="BF47" i="1" s="1"/>
  <c r="Z47" i="1"/>
  <c r="AA47" i="1" s="1"/>
  <c r="Z37" i="1"/>
  <c r="AA37" i="1" s="1"/>
  <c r="AQ37" i="1"/>
  <c r="BF37" i="1" s="1"/>
  <c r="AQ48" i="1"/>
  <c r="BF48" i="1" s="1"/>
  <c r="Z48" i="1"/>
  <c r="AA48" i="1" s="1"/>
  <c r="Z42" i="1"/>
  <c r="AA42" i="1" s="1"/>
  <c r="AQ42" i="1"/>
  <c r="BF42" i="1" s="1"/>
  <c r="AQ23" i="1"/>
  <c r="BF23" i="1" s="1"/>
  <c r="Z23" i="1"/>
  <c r="AA23" i="1" s="1"/>
  <c r="Z16" i="1"/>
  <c r="AA16" i="1" s="1"/>
  <c r="AQ16" i="1"/>
  <c r="BF16" i="1" s="1"/>
  <c r="L16" i="32"/>
  <c r="S16" i="32" s="1"/>
  <c r="Z45" i="1"/>
  <c r="AA45" i="1" s="1"/>
  <c r="AQ45" i="1"/>
  <c r="BF45" i="1" s="1"/>
  <c r="Z46" i="1"/>
  <c r="AA46" i="1" s="1"/>
  <c r="AQ46" i="1"/>
  <c r="BF46" i="1" s="1"/>
  <c r="Z11" i="1"/>
  <c r="AA11" i="1" s="1"/>
  <c r="AQ11" i="1"/>
  <c r="BF11" i="1" s="1"/>
  <c r="Z49" i="1"/>
  <c r="AA49" i="1" s="1"/>
  <c r="AQ49" i="1"/>
  <c r="BF49" i="1" s="1"/>
  <c r="Z43" i="1"/>
  <c r="AA43" i="1" s="1"/>
  <c r="AQ43" i="1"/>
  <c r="BF43" i="1" s="1"/>
  <c r="AQ39" i="1"/>
  <c r="BF39" i="1" s="1"/>
  <c r="Z39" i="1"/>
  <c r="AA39" i="1" s="1"/>
  <c r="Z17" i="1"/>
  <c r="AA17" i="1" s="1"/>
  <c r="AQ17" i="1"/>
  <c r="BF17" i="1" s="1"/>
  <c r="Y194" i="33" l="1"/>
  <c r="Y195" i="33"/>
  <c r="Y193" i="33"/>
  <c r="AB42" i="1"/>
  <c r="BG42" i="1"/>
  <c r="BH42" i="1" s="1"/>
  <c r="Y112" i="33"/>
  <c r="Y106" i="33"/>
  <c r="Y114" i="33"/>
  <c r="Y108" i="33"/>
  <c r="Y111" i="33"/>
  <c r="Y110" i="33"/>
  <c r="Y113" i="33"/>
  <c r="Y107" i="33"/>
  <c r="C27" i="32" s="1"/>
  <c r="Y109" i="33"/>
  <c r="AB27" i="1"/>
  <c r="BG27" i="1"/>
  <c r="BH27" i="1" s="1"/>
  <c r="Y228" i="33"/>
  <c r="Y229" i="33"/>
  <c r="Y230" i="33"/>
  <c r="Y232" i="33"/>
  <c r="Y233" i="33"/>
  <c r="Y231" i="33"/>
  <c r="AB49" i="1"/>
  <c r="BG49" i="1"/>
  <c r="BH49" i="1" s="1"/>
  <c r="Y178" i="33"/>
  <c r="Y180" i="33"/>
  <c r="Y174" i="33"/>
  <c r="Y177" i="33"/>
  <c r="Y175" i="33"/>
  <c r="Y179" i="33"/>
  <c r="Y173" i="33"/>
  <c r="Y176" i="33"/>
  <c r="AB39" i="1"/>
  <c r="BG39" i="1"/>
  <c r="BH39" i="1" s="1"/>
  <c r="Y165" i="33"/>
  <c r="Y164" i="33"/>
  <c r="Y163" i="33"/>
  <c r="Y166" i="33"/>
  <c r="AB37" i="1"/>
  <c r="BG37" i="1"/>
  <c r="BH37" i="1" s="1"/>
  <c r="Y45" i="33"/>
  <c r="Y39" i="33"/>
  <c r="Y44" i="33"/>
  <c r="Y43" i="33"/>
  <c r="Y46" i="33"/>
  <c r="Y42" i="33"/>
  <c r="Y41" i="33"/>
  <c r="Y40" i="33"/>
  <c r="AB15" i="1"/>
  <c r="BG15" i="1"/>
  <c r="BH15" i="1" s="1"/>
  <c r="Y135" i="33"/>
  <c r="Y137" i="33"/>
  <c r="Y134" i="33"/>
  <c r="Y139" i="33"/>
  <c r="Y136" i="33"/>
  <c r="Y138" i="33"/>
  <c r="AB32" i="1"/>
  <c r="BG32" i="1"/>
  <c r="BH32" i="1" s="1"/>
  <c r="Y76" i="33"/>
  <c r="Y78" i="33"/>
  <c r="Y72" i="33"/>
  <c r="Y75" i="33"/>
  <c r="Y79" i="33"/>
  <c r="Y73" i="33"/>
  <c r="Y77" i="33"/>
  <c r="Y80" i="33"/>
  <c r="Y74" i="33"/>
  <c r="AB21" i="1"/>
  <c r="BG21" i="1"/>
  <c r="BH21" i="1" s="1"/>
  <c r="Y59" i="33"/>
  <c r="Y60" i="33"/>
  <c r="Y58" i="33"/>
  <c r="AB18" i="1"/>
  <c r="BG18" i="1"/>
  <c r="BH18" i="1" s="1"/>
  <c r="Y153" i="33"/>
  <c r="Y155" i="33"/>
  <c r="Y149" i="33"/>
  <c r="Y152" i="33"/>
  <c r="Y157" i="33"/>
  <c r="Y151" i="33"/>
  <c r="Y154" i="33"/>
  <c r="Y148" i="33"/>
  <c r="T12" i="32" s="1"/>
  <c r="S12" i="32" s="1"/>
  <c r="Y150" i="33"/>
  <c r="Y156" i="33"/>
  <c r="AB34" i="1"/>
  <c r="BG34" i="1"/>
  <c r="BH34" i="1" s="1"/>
  <c r="Y93" i="33"/>
  <c r="Y95" i="33"/>
  <c r="Y92" i="33"/>
  <c r="J26" i="32" s="1"/>
  <c r="I26" i="32" s="1"/>
  <c r="Y94" i="33"/>
  <c r="AB24" i="1"/>
  <c r="BG24" i="1"/>
  <c r="BH24" i="1" s="1"/>
  <c r="Y159" i="33"/>
  <c r="Y161" i="33"/>
  <c r="Y160" i="33"/>
  <c r="Y162" i="33"/>
  <c r="AB36" i="1"/>
  <c r="BG36" i="1"/>
  <c r="BH36" i="1" s="1"/>
  <c r="Y200" i="33"/>
  <c r="Y201" i="33"/>
  <c r="C32" i="32" s="1"/>
  <c r="Y202" i="33"/>
  <c r="Y205" i="33"/>
  <c r="Y203" i="33"/>
  <c r="Y204" i="33"/>
  <c r="AB44" i="1"/>
  <c r="BG44" i="1"/>
  <c r="BH44" i="1" s="1"/>
  <c r="Y32" i="33"/>
  <c r="Y30" i="33"/>
  <c r="Y29" i="33"/>
  <c r="Y31" i="33"/>
  <c r="J9" i="32" s="1"/>
  <c r="I9" i="32" s="1"/>
  <c r="AB13" i="1"/>
  <c r="BG13" i="1"/>
  <c r="BH13" i="1" s="1"/>
  <c r="Y222" i="33"/>
  <c r="Y216" i="33"/>
  <c r="C48" i="32" s="1"/>
  <c r="Y223" i="33"/>
  <c r="Y217" i="33"/>
  <c r="Y16" i="33" s="1"/>
  <c r="Y218" i="33"/>
  <c r="Y220" i="33"/>
  <c r="Y214" i="33"/>
  <c r="Y221" i="33"/>
  <c r="Y219" i="33"/>
  <c r="Y215" i="33"/>
  <c r="J45" i="32" s="1"/>
  <c r="I45" i="32" s="1"/>
  <c r="AB46" i="1"/>
  <c r="BG46" i="1"/>
  <c r="BH46" i="1" s="1"/>
  <c r="Y96" i="33"/>
  <c r="Y99" i="33"/>
  <c r="Y98" i="33"/>
  <c r="Y97" i="33"/>
  <c r="AB25" i="1"/>
  <c r="BG25" i="1"/>
  <c r="BH25" i="1" s="1"/>
  <c r="Y192" i="33"/>
  <c r="AB41" i="1"/>
  <c r="BG41" i="1"/>
  <c r="BH41" i="1" s="1"/>
  <c r="F192" i="33" s="1"/>
  <c r="Y147" i="33"/>
  <c r="Y141" i="33"/>
  <c r="Y143" i="33"/>
  <c r="Y146" i="33"/>
  <c r="Y140" i="33"/>
  <c r="Y145" i="33"/>
  <c r="Y142" i="33"/>
  <c r="Y144" i="33"/>
  <c r="AB33" i="1"/>
  <c r="BG33" i="1"/>
  <c r="BH33" i="1" s="1"/>
  <c r="Y240" i="33"/>
  <c r="Y234" i="33"/>
  <c r="Y235" i="33"/>
  <c r="Y236" i="33"/>
  <c r="Y238" i="33"/>
  <c r="Y239" i="33"/>
  <c r="Y237" i="33"/>
  <c r="Y19" i="33" s="1"/>
  <c r="AB50" i="1"/>
  <c r="BG50" i="1"/>
  <c r="BH50" i="1" s="1"/>
  <c r="Y125" i="33"/>
  <c r="AB29" i="1"/>
  <c r="BG29" i="1"/>
  <c r="BH29" i="1" s="1"/>
  <c r="F125" i="33" s="1"/>
  <c r="Y224" i="33"/>
  <c r="AB47" i="1"/>
  <c r="BG47" i="1"/>
  <c r="BH47" i="1" s="1"/>
  <c r="F224" i="33" s="1"/>
  <c r="Y88" i="33"/>
  <c r="Y82" i="33"/>
  <c r="Y90" i="33"/>
  <c r="Y84" i="33"/>
  <c r="Y87" i="33"/>
  <c r="Y81" i="33"/>
  <c r="C23" i="32" s="1"/>
  <c r="Y85" i="33"/>
  <c r="Y89" i="33"/>
  <c r="Y83" i="33"/>
  <c r="Y86" i="33"/>
  <c r="Y9" i="33" s="1"/>
  <c r="AB22" i="1"/>
  <c r="BG22" i="1"/>
  <c r="BH22" i="1" s="1"/>
  <c r="Y124" i="33"/>
  <c r="Y118" i="33"/>
  <c r="Y120" i="33"/>
  <c r="Y123" i="33"/>
  <c r="Y117" i="33"/>
  <c r="C29" i="32" s="1"/>
  <c r="Y122" i="33"/>
  <c r="Y116" i="33"/>
  <c r="Y119" i="33"/>
  <c r="Y121" i="33"/>
  <c r="Y115" i="33"/>
  <c r="C25" i="32" s="1"/>
  <c r="AB28" i="1"/>
  <c r="BG28" i="1"/>
  <c r="BH28" i="1" s="1"/>
  <c r="Y129" i="33"/>
  <c r="Y128" i="33"/>
  <c r="Y127" i="33"/>
  <c r="C38" i="32" s="1"/>
  <c r="Y126" i="33"/>
  <c r="AB30" i="1"/>
  <c r="BG30" i="1"/>
  <c r="BH30" i="1" s="1"/>
  <c r="Y196" i="33"/>
  <c r="Y199" i="33"/>
  <c r="Y197" i="33"/>
  <c r="Y198" i="33"/>
  <c r="AB43" i="1"/>
  <c r="BG43" i="1"/>
  <c r="BH43" i="1" s="1"/>
  <c r="Y100" i="33"/>
  <c r="Y102" i="33"/>
  <c r="Y105" i="33"/>
  <c r="Y104" i="33"/>
  <c r="Y101" i="33"/>
  <c r="Y103" i="33"/>
  <c r="AB26" i="1"/>
  <c r="BG26" i="1"/>
  <c r="BH26" i="1" s="1"/>
  <c r="Y64" i="33"/>
  <c r="Y63" i="33"/>
  <c r="Y61" i="33"/>
  <c r="Y62" i="33"/>
  <c r="AB19" i="1"/>
  <c r="BG19" i="1"/>
  <c r="BH19" i="1" s="1"/>
  <c r="Y172" i="33"/>
  <c r="Y171" i="33"/>
  <c r="Y167" i="33"/>
  <c r="M15" i="32" s="1"/>
  <c r="Y170" i="33"/>
  <c r="Y13" i="33" s="1"/>
  <c r="Y169" i="33"/>
  <c r="Y168" i="33"/>
  <c r="AB38" i="1"/>
  <c r="BG38" i="1"/>
  <c r="BH38" i="1" s="1"/>
  <c r="Y26" i="33"/>
  <c r="Y27" i="33"/>
  <c r="J19" i="32" s="1"/>
  <c r="I19" i="32" s="1"/>
  <c r="Y28" i="33"/>
  <c r="AB12" i="1"/>
  <c r="BG12" i="1"/>
  <c r="BH12" i="1" s="1"/>
  <c r="Y70" i="33"/>
  <c r="Y66" i="33"/>
  <c r="Y69" i="33"/>
  <c r="Y67" i="33"/>
  <c r="Y68" i="33"/>
  <c r="Y71" i="33"/>
  <c r="Y65" i="33"/>
  <c r="AB20" i="1"/>
  <c r="BG20" i="1"/>
  <c r="BH20" i="1" s="1"/>
  <c r="Y190" i="33"/>
  <c r="Y184" i="33"/>
  <c r="Y186" i="33"/>
  <c r="Y189" i="33"/>
  <c r="Y183" i="33"/>
  <c r="Y187" i="33"/>
  <c r="Y12" i="33" s="1"/>
  <c r="Y181" i="33"/>
  <c r="Y191" i="33"/>
  <c r="Y185" i="33"/>
  <c r="Y182" i="33"/>
  <c r="Y188" i="33"/>
  <c r="AB40" i="1"/>
  <c r="BG40" i="1"/>
  <c r="BH40" i="1" s="1"/>
  <c r="Y33" i="33"/>
  <c r="J15" i="32" s="1"/>
  <c r="I15" i="32" s="1"/>
  <c r="Y38" i="33"/>
  <c r="Y36" i="33"/>
  <c r="Y35" i="33"/>
  <c r="Y34" i="33"/>
  <c r="Y37" i="33"/>
  <c r="AB14" i="1"/>
  <c r="BG14" i="1"/>
  <c r="BH14" i="1" s="1"/>
  <c r="Y91" i="33"/>
  <c r="AB23" i="1"/>
  <c r="BG23" i="1"/>
  <c r="BH23" i="1" s="1"/>
  <c r="F91" i="33" s="1"/>
  <c r="Y158" i="33"/>
  <c r="AB35" i="1"/>
  <c r="BG35" i="1"/>
  <c r="BH35" i="1" s="1"/>
  <c r="F158" i="33" s="1"/>
  <c r="Y57" i="33"/>
  <c r="AB17" i="1"/>
  <c r="BG17" i="1"/>
  <c r="BH17" i="1" s="1"/>
  <c r="F57" i="33" s="1"/>
  <c r="Y210" i="33"/>
  <c r="Y211" i="33"/>
  <c r="Y212" i="33"/>
  <c r="Y206" i="33"/>
  <c r="Y209" i="33"/>
  <c r="Y207" i="33"/>
  <c r="Y208" i="33"/>
  <c r="Y213" i="33"/>
  <c r="AB45" i="1"/>
  <c r="BG45" i="1"/>
  <c r="BH45" i="1" s="1"/>
  <c r="Y51" i="33"/>
  <c r="C15" i="32" s="1"/>
  <c r="Y54" i="33"/>
  <c r="Y56" i="33"/>
  <c r="Y50" i="33"/>
  <c r="Y48" i="33"/>
  <c r="Y47" i="33"/>
  <c r="Y55" i="33"/>
  <c r="Y49" i="33"/>
  <c r="Y53" i="33"/>
  <c r="Y52" i="33"/>
  <c r="Y8" i="33" s="1"/>
  <c r="AB16" i="1"/>
  <c r="BG16" i="1"/>
  <c r="BH16" i="1" s="1"/>
  <c r="Y25" i="33"/>
  <c r="AB11" i="1"/>
  <c r="BG11" i="1"/>
  <c r="BH11" i="1" s="1"/>
  <c r="F25" i="33" s="1"/>
  <c r="Y226" i="33"/>
  <c r="Y10" i="33" s="1"/>
  <c r="Y227" i="33"/>
  <c r="Y225" i="33"/>
  <c r="AB48" i="1"/>
  <c r="BG48" i="1"/>
  <c r="BH48" i="1" s="1"/>
  <c r="Y131" i="33"/>
  <c r="Y133" i="33"/>
  <c r="Y130" i="33"/>
  <c r="Y132" i="33"/>
  <c r="AB31" i="1"/>
  <c r="BG31" i="1"/>
  <c r="BH31" i="1" s="1"/>
  <c r="J39" i="32" l="1"/>
  <c r="I39" i="32" s="1"/>
  <c r="J28" i="32"/>
  <c r="I28" i="32" s="1"/>
  <c r="Y11" i="33"/>
  <c r="J10" i="32"/>
  <c r="I10" i="32" s="1"/>
  <c r="J8" i="32"/>
  <c r="I8" i="32" s="1"/>
  <c r="J21" i="32"/>
  <c r="I21" i="32" s="1"/>
  <c r="J51" i="32"/>
  <c r="I51" i="32" s="1"/>
  <c r="J14" i="32"/>
  <c r="I14" i="32" s="1"/>
  <c r="J16" i="32"/>
  <c r="I16" i="32" s="1"/>
  <c r="C28" i="32"/>
  <c r="M13" i="32"/>
  <c r="F62" i="33"/>
  <c r="F64" i="33"/>
  <c r="F63" i="33"/>
  <c r="F61" i="33"/>
  <c r="F102" i="33"/>
  <c r="F104" i="33"/>
  <c r="F101" i="33"/>
  <c r="F105" i="33"/>
  <c r="F103" i="33"/>
  <c r="F100" i="33"/>
  <c r="J36" i="32"/>
  <c r="I36" i="32" s="1"/>
  <c r="J40" i="32"/>
  <c r="I40" i="32" s="1"/>
  <c r="F98" i="33"/>
  <c r="F99" i="33"/>
  <c r="F97" i="33"/>
  <c r="F96" i="33"/>
  <c r="F218" i="33"/>
  <c r="F219" i="33"/>
  <c r="F220" i="33"/>
  <c r="F214" i="33"/>
  <c r="F221" i="33"/>
  <c r="F215" i="33"/>
  <c r="F223" i="33"/>
  <c r="F217" i="33"/>
  <c r="F216" i="33"/>
  <c r="F222" i="33"/>
  <c r="F31" i="33"/>
  <c r="F30" i="33"/>
  <c r="F32" i="33"/>
  <c r="F29" i="33"/>
  <c r="F202" i="33"/>
  <c r="F203" i="33"/>
  <c r="F204" i="33"/>
  <c r="F201" i="33"/>
  <c r="F205" i="33"/>
  <c r="F200" i="33"/>
  <c r="Y14" i="33"/>
  <c r="J37" i="32"/>
  <c r="I37" i="32" s="1"/>
  <c r="F230" i="33"/>
  <c r="F231" i="33"/>
  <c r="F232" i="33"/>
  <c r="F233" i="33"/>
  <c r="F229" i="33"/>
  <c r="F228" i="33"/>
  <c r="F186" i="33"/>
  <c r="F188" i="33"/>
  <c r="F182" i="33"/>
  <c r="F191" i="33"/>
  <c r="F185" i="33"/>
  <c r="F190" i="33"/>
  <c r="F184" i="33"/>
  <c r="F183" i="33"/>
  <c r="F187" i="33"/>
  <c r="F181" i="33"/>
  <c r="F189" i="33"/>
  <c r="F131" i="33"/>
  <c r="F133" i="33"/>
  <c r="F130" i="33"/>
  <c r="F132" i="33"/>
  <c r="F225" i="33"/>
  <c r="F226" i="33"/>
  <c r="F227" i="33"/>
  <c r="F66" i="33"/>
  <c r="F68" i="33"/>
  <c r="F71" i="33"/>
  <c r="F65" i="33"/>
  <c r="F70" i="33"/>
  <c r="F69" i="33"/>
  <c r="F67" i="33"/>
  <c r="T11" i="32"/>
  <c r="S11" i="32" s="1"/>
  <c r="C26" i="32"/>
  <c r="Y15" i="33"/>
  <c r="F137" i="33"/>
  <c r="F139" i="33"/>
  <c r="F136" i="33"/>
  <c r="F135" i="33"/>
  <c r="F134" i="33"/>
  <c r="F138" i="33"/>
  <c r="F195" i="33"/>
  <c r="F194" i="33"/>
  <c r="F193" i="33"/>
  <c r="F236" i="33"/>
  <c r="F237" i="33"/>
  <c r="F238" i="33"/>
  <c r="F239" i="33"/>
  <c r="F235" i="33"/>
  <c r="F234" i="33"/>
  <c r="F240" i="33"/>
  <c r="F161" i="33"/>
  <c r="F160" i="33"/>
  <c r="F162" i="33"/>
  <c r="F159" i="33"/>
  <c r="F95" i="33"/>
  <c r="F94" i="33"/>
  <c r="F92" i="33"/>
  <c r="F93" i="33"/>
  <c r="F155" i="33"/>
  <c r="F149" i="33"/>
  <c r="F157" i="33"/>
  <c r="F151" i="33"/>
  <c r="F154" i="33"/>
  <c r="F148" i="33"/>
  <c r="F150" i="33"/>
  <c r="F156" i="33"/>
  <c r="F152" i="33"/>
  <c r="F153" i="33"/>
  <c r="F78" i="33"/>
  <c r="F72" i="33"/>
  <c r="F80" i="33"/>
  <c r="F74" i="33"/>
  <c r="F77" i="33"/>
  <c r="F76" i="33"/>
  <c r="F79" i="33"/>
  <c r="F75" i="33"/>
  <c r="F73" i="33"/>
  <c r="M16" i="32"/>
  <c r="J12" i="32"/>
  <c r="I12" i="32" s="1"/>
  <c r="F163" i="33"/>
  <c r="F166" i="33"/>
  <c r="F164" i="33"/>
  <c r="F165" i="33"/>
  <c r="F180" i="33"/>
  <c r="F174" i="33"/>
  <c r="F176" i="33"/>
  <c r="F179" i="33"/>
  <c r="F173" i="33"/>
  <c r="F178" i="33"/>
  <c r="F175" i="33"/>
  <c r="F177" i="33"/>
  <c r="F114" i="33"/>
  <c r="F108" i="33"/>
  <c r="F110" i="33"/>
  <c r="F113" i="33"/>
  <c r="F107" i="33"/>
  <c r="F111" i="33"/>
  <c r="F109" i="33"/>
  <c r="F112" i="33"/>
  <c r="F106" i="33"/>
  <c r="Y18" i="33"/>
  <c r="F127" i="33"/>
  <c r="F126" i="33"/>
  <c r="F129" i="33"/>
  <c r="F128" i="33"/>
  <c r="F53" i="33"/>
  <c r="F47" i="33"/>
  <c r="F56" i="33"/>
  <c r="F52" i="33"/>
  <c r="F49" i="33"/>
  <c r="F48" i="33"/>
  <c r="F50" i="33"/>
  <c r="F54" i="33"/>
  <c r="F51" i="33"/>
  <c r="F55" i="33"/>
  <c r="J23" i="32"/>
  <c r="I23" i="32" s="1"/>
  <c r="J30" i="32"/>
  <c r="I30" i="32" s="1"/>
  <c r="J13" i="32"/>
  <c r="I13" i="32" s="1"/>
  <c r="F59" i="33"/>
  <c r="F58" i="33"/>
  <c r="F60" i="33"/>
  <c r="M17" i="32"/>
  <c r="F41" i="33"/>
  <c r="F46" i="33"/>
  <c r="F40" i="33"/>
  <c r="F45" i="33"/>
  <c r="F43" i="33"/>
  <c r="F42" i="33"/>
  <c r="F39" i="33"/>
  <c r="F44" i="33"/>
  <c r="Y17" i="33"/>
  <c r="F196" i="33"/>
  <c r="F197" i="33"/>
  <c r="F198" i="33"/>
  <c r="F199" i="33"/>
  <c r="F120" i="33"/>
  <c r="F122" i="33"/>
  <c r="F116" i="33"/>
  <c r="F119" i="33"/>
  <c r="F123" i="33"/>
  <c r="F121" i="33"/>
  <c r="F117" i="33"/>
  <c r="F115" i="33"/>
  <c r="F124" i="33"/>
  <c r="F118" i="33"/>
  <c r="F90" i="33"/>
  <c r="F84" i="33"/>
  <c r="F86" i="33"/>
  <c r="F89" i="33"/>
  <c r="F83" i="33"/>
  <c r="F88" i="33"/>
  <c r="F82" i="33"/>
  <c r="F87" i="33"/>
  <c r="F85" i="33"/>
  <c r="F81" i="33"/>
  <c r="F212" i="33"/>
  <c r="F213" i="33"/>
  <c r="F210" i="33"/>
  <c r="F208" i="33"/>
  <c r="F211" i="33"/>
  <c r="F209" i="33"/>
  <c r="F207" i="33"/>
  <c r="F206" i="33"/>
  <c r="J31" i="32"/>
  <c r="I31" i="32" s="1"/>
  <c r="J22" i="32"/>
  <c r="I22" i="32" s="1"/>
  <c r="F35" i="33"/>
  <c r="F34" i="33"/>
  <c r="F37" i="33"/>
  <c r="F36" i="33"/>
  <c r="F33" i="33"/>
  <c r="F38" i="33"/>
  <c r="J11" i="32"/>
  <c r="I11" i="32" s="1"/>
  <c r="J32" i="32"/>
  <c r="I32" i="32" s="1"/>
  <c r="F26" i="33"/>
  <c r="F27" i="33"/>
  <c r="F28" i="33"/>
  <c r="F167" i="33"/>
  <c r="F169" i="33"/>
  <c r="F172" i="33"/>
  <c r="F170" i="33"/>
  <c r="F168" i="33"/>
  <c r="F171" i="33"/>
  <c r="J29" i="32"/>
  <c r="I29" i="32" s="1"/>
  <c r="J38" i="32"/>
  <c r="I38" i="32" s="1"/>
  <c r="Y7" i="33"/>
  <c r="T13" i="32"/>
  <c r="S13" i="32" s="1"/>
  <c r="J34" i="32"/>
  <c r="I34" i="32" s="1"/>
  <c r="M12" i="32"/>
  <c r="M18" i="32"/>
  <c r="F143" i="33"/>
  <c r="F145" i="33"/>
  <c r="F142" i="33"/>
  <c r="F140" i="33"/>
  <c r="F146" i="33"/>
  <c r="F141" i="33"/>
  <c r="F147" i="33"/>
  <c r="F144" i="33"/>
  <c r="J27" i="32"/>
  <c r="I27" i="32" s="1"/>
  <c r="M11" i="32"/>
  <c r="T17" i="32"/>
  <c r="S17" i="32" s="1"/>
  <c r="J48" i="32"/>
  <c r="I48" i="32" s="1"/>
  <c r="J49" i="32"/>
  <c r="I49" i="32" s="1"/>
  <c r="Q6" i="32" l="1"/>
  <c r="K6" i="32"/>
  <c r="U6" i="32"/>
  <c r="N6" i="32"/>
</calcChain>
</file>

<file path=xl/sharedStrings.xml><?xml version="1.0" encoding="utf-8"?>
<sst xmlns="http://schemas.openxmlformats.org/spreadsheetml/2006/main" count="5224" uniqueCount="582">
  <si>
    <t>ДЕРЕВО ТЕХНОЛОГИЙ — 15 ХОДОВ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</si>
  <si>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</si>
  <si>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ВСЕГО ТЕХНОЛОГИЙ</t>
  </si>
  <si>
    <t>ОСНОВНЫХ ВЕТВЕЙ</t>
  </si>
  <si>
    <t>МЕЖВЕТВЕВЫХ</t>
  </si>
  <si>
    <t>СТАРТОВО ОТКРЫТО</t>
  </si>
  <si>
    <t>ID</t>
  </si>
  <si>
    <t>Ветвь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</si>
  <si>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</si>
  <si>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</si>
  <si>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</si>
  <si>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</si>
  <si>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</si>
  <si>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</si>
  <si>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</si>
  <si>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</si>
  <si>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</si>
  <si>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</si>
  <si>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</si>
  <si>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</si>
  <si>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</si>
  <si>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</si>
  <si>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</si>
  <si>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</si>
  <si>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</si>
  <si>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</si>
  <si>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</si>
  <si>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</si>
  <si>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</si>
  <si>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</si>
  <si>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</si>
  <si>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</si>
  <si>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</si>
  <si>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</si>
  <si>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</si>
  <si>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</si>
  <si>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</si>
  <si>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</si>
  <si>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</si>
  <si>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</si>
  <si>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</si>
  <si>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</si>
  <si>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</si>
  <si>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</si>
  <si>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</si>
  <si>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</si>
  <si>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</si>
  <si>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</si>
  <si>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</si>
  <si>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</si>
  <si>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</si>
  <si>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</si>
  <si>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</si>
  <si>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</si>
  <si>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</si>
  <si>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</si>
  <si>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</si>
  <si>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</si>
  <si>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</si>
  <si>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</si>
  <si>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</si>
  <si>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</si>
  <si>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</si>
  <si>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</si>
  <si>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Год изучения</t>
  </si>
  <si>
    <t>Эффект с года</t>
  </si>
  <si>
    <t>C1</t>
  </si>
  <si>
    <t>Вычисления и аппаратная база</t>
  </si>
  <si>
    <t>I</t>
  </si>
  <si>
    <t>GPU-узлы с тензорными ядрами</t>
  </si>
  <si>
    <t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t>
  </si>
  <si>
    <t>+ Вычислительные компоненты: +0,20</t>
  </si>
  <si>
    <t>C2</t>
  </si>
  <si>
    <t>II</t>
  </si>
  <si>
    <t>ASIC-ускорители с памятью HBM</t>
  </si>
  <si>
    <t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t>
  </si>
  <si>
    <t>+ Вычислительные компоненты: +0,30; + Базовый программный стек вычислений: +0,20; − Минерально-сырьевые ресурсы: -0,15</t>
  </si>
  <si>
    <t>C3</t>
  </si>
  <si>
    <t>Чиплетная компоновка ИИ-процессоров 2.5D/3D</t>
  </si>
  <si>
    <t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t>
  </si>
  <si>
    <t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t>
  </si>
  <si>
    <t>C4</t>
  </si>
  <si>
    <t>III</t>
  </si>
  <si>
    <t>Гетерогенные вычислительные кластеры</t>
  </si>
  <si>
    <t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t>
  </si>
  <si>
    <t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t>
  </si>
  <si>
    <t>C5</t>
  </si>
  <si>
    <t>IV</t>
  </si>
  <si>
    <t>Распределённые ЦОД с оптическими магистралями</t>
  </si>
  <si>
    <t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t>
  </si>
  <si>
    <t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t>
  </si>
  <si>
    <t>C6</t>
  </si>
  <si>
    <t>V</t>
  </si>
  <si>
    <t>Фотонно-нейроморфные вычислительные комплексы</t>
  </si>
  <si>
    <t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t>
  </si>
  <si>
    <t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t>
  </si>
  <si>
    <t>M1</t>
  </si>
  <si>
    <t>Модели и алгоритмы</t>
  </si>
  <si>
    <t>Обучение нейросетей со смешанной точностью и адаптивными оптимизаторами</t>
  </si>
  <si>
    <t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t>
  </si>
  <si>
    <t>+ Методы построения и совершенствования моделей: +0,20</t>
  </si>
  <si>
    <t>M2</t>
  </si>
  <si>
    <t>Мультимодальные трансформеры с перекрёстным вниманием</t>
  </si>
  <si>
    <t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t>
  </si>
  <si>
    <t>+ Модельные ресурсы: +0,30; + Атака в войне Аполлона: +10%; − Энергетические ресурсы: -0,15</t>
  </si>
  <si>
    <t>M3</t>
  </si>
  <si>
    <t>Нейросетевые модели рассуждения с поиском и проверкой решений</t>
  </si>
  <si>
    <t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t>
  </si>
  <si>
    <t>+ Методы построения и совершенствования моделей: +0,30; + Прирост сферы «Познание»: +0,08/год; + Ресурсы оценки: +0,20; − Энергетические ресурсы: -0,25</t>
  </si>
  <si>
    <t>M4</t>
  </si>
  <si>
    <t>Непрерывное обучение нейросетей с адаптерами и буферами воспроизведения</t>
  </si>
  <si>
    <t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t>
  </si>
  <si>
    <t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t>
  </si>
  <si>
    <t>M5</t>
  </si>
  <si>
    <t>Латентные модели мира с причинным и контрфактическим прогнозированием</t>
  </si>
  <si>
    <t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t>
  </si>
  <si>
    <t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t>
  </si>
  <si>
    <t>M6</t>
  </si>
  <si>
    <t>Автоматизированный поиск архитектур и самообновление нейросетей</t>
  </si>
  <si>
    <t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t>
  </si>
  <si>
    <t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t>
  </si>
  <si>
    <t>D1</t>
  </si>
  <si>
    <t>Данные и знания</t>
  </si>
  <si>
    <t>Унифицированные API и схемы обмена данными</t>
  </si>
  <si>
    <t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t>
  </si>
  <si>
    <t>+ Интеграционные ресурсы: +0,20</t>
  </si>
  <si>
    <t>D2</t>
  </si>
  <si>
    <t>Генерация синтетических данных диффузионными и генеративно-состязательными моделями</t>
  </si>
  <si>
    <t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t>
  </si>
  <si>
    <t>+ Производные данные: +0,30; прирост +0,10/год; + Ресурсы оценки: +0,20; − Социальное доверие: -0,10</t>
  </si>
  <si>
    <t>D3</t>
  </si>
  <si>
    <t>Графовые базы знаний на RDF/OWL с семантическими запросами</t>
  </si>
  <si>
    <t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t>
  </si>
  <si>
    <t>+ Контекстные информационные ресурсы: +0,30; + Прирост сферы «Познание»: +0,05/год; + Документационные ресурсы: +0,20; − Финансовые ресурсы: -0,15</t>
  </si>
  <si>
    <t>D4</t>
  </si>
  <si>
    <t>Системы RAG с проверкой происхождения и цитированием источников</t>
  </si>
  <si>
    <t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t>
  </si>
  <si>
    <t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t>
  </si>
  <si>
    <t>D5</t>
  </si>
  <si>
    <t>Федеративные каталоги данных и машиночитаемые онтологии</t>
  </si>
  <si>
    <t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t>
  </si>
  <si>
    <t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t>
  </si>
  <si>
    <t>D6</t>
  </si>
  <si>
    <t>Автоматизированные конвейеры очистки, разметки и контроля происхождения данных</t>
  </si>
  <si>
    <t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t>
  </si>
  <si>
    <t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t>
  </si>
  <si>
    <t>A1</t>
  </si>
  <si>
    <t>Агенты и автономные системы</t>
  </si>
  <si>
    <t>Программные ИИ-агенты с вызовом внешних инструментов через API</t>
  </si>
  <si>
    <t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t>
  </si>
  <si>
    <t>+ Прирост сферы «Управление»: +0,05/год</t>
  </si>
  <si>
    <t>A2</t>
  </si>
  <si>
    <t>Агенты бизнес-процессов с управлением состояниями и BPMN-маршрутами</t>
  </si>
  <si>
    <t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t>
  </si>
  <si>
    <t>+ Организационная архитектура внедрения: +0,30; прирост +0,08/год; + Оцифрованность деятельности: +0,20; − Кибербезопасностные ресурсы: -0,15</t>
  </si>
  <si>
    <t>A3</t>
  </si>
  <si>
    <t>Многоагентная маршрутизация задач с распределением ролей</t>
  </si>
  <si>
    <t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t>
  </si>
  <si>
    <t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t>
  </si>
  <si>
    <t>A4</t>
  </si>
  <si>
    <t>Автономное исполнение регламентов с анализом бизнес-процессов</t>
  </si>
  <si>
    <t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t>
  </si>
  <si>
    <t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t>
  </si>
  <si>
    <t>A5</t>
  </si>
  <si>
    <t>Государственные ИИ-агенты с транзакционным доступом к реестрам</t>
  </si>
  <si>
    <t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t>
  </si>
  <si>
    <t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t>
  </si>
  <si>
    <t>A6</t>
  </si>
  <si>
    <t>Агентные контуры стратегического планирования с цифровыми двойниками</t>
  </si>
  <si>
    <t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t>
  </si>
  <si>
    <t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t>
  </si>
  <si>
    <t>R1</t>
  </si>
  <si>
    <t>Физический ИИ и робототехника</t>
  </si>
  <si>
    <t>Машинное зрение для промышленного контроля качества</t>
  </si>
  <si>
    <t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t>
  </si>
  <si>
    <t>+ Оцифрованность деятельности: +0,20</t>
  </si>
  <si>
    <t>R2</t>
  </si>
  <si>
    <t>Роботы-манипуляторы с силомоментным управлением</t>
  </si>
  <si>
    <t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t>
  </si>
  <si>
    <t>+ Сфера «Производство»: +0,30; прирост +0,08/год; + Готовность работников к использованию ИИ: +0,20; − Энергетические ресурсы: -0,15</t>
  </si>
  <si>
    <t>R3</t>
  </si>
  <si>
    <t>Автономная логистика с SLAM и многороботной маршрутизацией</t>
  </si>
  <si>
    <t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t>
  </si>
  <si>
    <t>+ Прирост сферы «Экономика»: +0,08/год; + Сетевые ресурсы: +0,20; + Защита от войны Афины: +10%; − Пространственные и природно-географические ресурсы: -0,20</t>
  </si>
  <si>
    <t>R4</t>
  </si>
  <si>
    <t>Автономные мобильные роботизированные комплексы с коллективным управлением</t>
  </si>
  <si>
    <t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t>
  </si>
  <si>
    <t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t>
  </si>
  <si>
    <t>R5</t>
  </si>
  <si>
    <t>Универсальные роботы с моделями «изображение - язык - действие» (VLA)</t>
  </si>
  <si>
    <t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t>
  </si>
  <si>
    <t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t>
  </si>
  <si>
    <t>R6</t>
  </si>
  <si>
    <t>Автономные производственные линии с цифровыми двойниками</t>
  </si>
  <si>
    <t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t>
  </si>
  <si>
    <t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t>
  </si>
  <si>
    <t>S1</t>
  </si>
  <si>
    <t>Надёжность, безопасность и контроль</t>
  </si>
  <si>
    <t>Автоматизированные наборы тестов и бенчмарков качества ИИ</t>
  </si>
  <si>
    <t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t>
  </si>
  <si>
    <t>+ Ресурсы оценки: +0,30</t>
  </si>
  <si>
    <t>S2</t>
  </si>
  <si>
    <t>Интерпретация решений нейросетей на основе SHAP и концептуальных признаков</t>
  </si>
  <si>
    <t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t>
  </si>
  <si>
    <t>+ Документационные ресурсы: +0,20; + Социальное доверие: +0,20; − Модельные ресурсы: -0,10</t>
  </si>
  <si>
    <t>S3</t>
  </si>
  <si>
    <t>Защищённый MLOps с подписанными моделями и контролем цепочки поставок</t>
  </si>
  <si>
    <t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t>
  </si>
  <si>
    <t>+ Кибербезопасностные ресурсы: +0,30; + Стек эксплуатации ИИ: +0,20; + Защита от войны Афины: +10%; − Финансовые ресурсы: -0,15</t>
  </si>
  <si>
    <t>S4</t>
  </si>
  <si>
    <t>Автоматизированное adversarial-тестирование и red teaming моделей</t>
  </si>
  <si>
    <t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t>
  </si>
  <si>
    <t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t>
  </si>
  <si>
    <t>S5</t>
  </si>
  <si>
    <t>Мониторинг и ограничение действий автономных ИИ-агентов</t>
  </si>
  <si>
    <t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t>
  </si>
  <si>
    <t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t>
  </si>
  <si>
    <t>S6</t>
  </si>
  <si>
    <t>Формальная верификация политик и протоколов автономных ИИ-систем</t>
  </si>
  <si>
    <t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t>
  </si>
  <si>
    <t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t>
  </si>
  <si>
    <t>X1</t>
  </si>
  <si>
    <t>Межветвевые</t>
  </si>
  <si>
    <t>Мультиагентные конвейеры генерации и проверки научных гипотез</t>
  </si>
  <si>
    <t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t>
  </si>
  <si>
    <t>+ Эффективность науки во всех направлениях: +15%</t>
  </si>
  <si>
    <t>X2</t>
  </si>
  <si>
    <t>Национальная платформа инференса ИИ с маршрутизацией моделей через API</t>
  </si>
  <si>
    <t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t>
  </si>
  <si>
    <t>+ Прирост сферы «Принятие ИИ»: +0,10/год; + Эффективность вложения очков ИИ в сферы: +10%; − Энергетические ресурсы: -0,20</t>
  </si>
  <si>
    <t>X3</t>
  </si>
  <si>
    <t>Межведомственный контур транзакционных ИИ-агентов</t>
  </si>
  <si>
    <t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t>
  </si>
  <si>
    <t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t>
  </si>
  <si>
    <t>X4</t>
  </si>
  <si>
    <t>V+</t>
  </si>
  <si>
    <t>Замкнутый контур автоматизированного исследования и развёртывания моделей ИИ</t>
  </si>
  <si>
    <t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t>
  </si>
  <si>
    <t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t>
  </si>
  <si>
    <t>Жёлтые поля заполняются вручную. Четыре колонки эффектов всегда создаются с нулём и не содержат формул.</t>
  </si>
  <si>
    <t>1. РЕСУРСНАЯ БАЗА ИИ</t>
  </si>
  <si>
    <t>ОЧКИ ИИ</t>
  </si>
  <si>
    <t>ОЧКИ НАУКИ</t>
  </si>
  <si>
    <t>ВНЕШНЕПОЛИТИЧЕСКИЕ ОЧКИ</t>
  </si>
  <si>
    <t>ОЧКИ ТРАНСФОРМАЦИИ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</si>
  <si>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</si>
  <si>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</si>
  <si>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</si>
  <si>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</si>
  <si>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</si>
  <si>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</si>
  <si>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Временный эффект
на прирост</t>
  </si>
  <si>
    <t>От торговли</t>
  </si>
  <si>
    <t>Реальное
значение</t>
  </si>
  <si>
    <t>От науки</t>
  </si>
  <si>
    <t>I. Материально-физическая и вычислительная база</t>
  </si>
  <si>
    <t>Минерально-сырьевые ресурсы</t>
  </si>
  <si>
    <t>Химические и технологические материалы</t>
  </si>
  <si>
    <t>2. СФЕРЫ ВНЕДРЕНИЯ ИИ</t>
  </si>
  <si>
    <t>3. МЕЖДУНАРОДНЫЕ ОТНОШЕНИЯ</t>
  </si>
  <si>
    <t>Энергетические ресурсы</t>
  </si>
  <si>
    <t>Сфера</t>
  </si>
  <si>
    <t>Страна</t>
  </si>
  <si>
    <t>Код −5…+5</t>
  </si>
  <si>
    <t>Статус</t>
  </si>
  <si>
    <t>Краткое положение</t>
  </si>
  <si>
    <t>Вода и ресурс отвода тепла</t>
  </si>
  <si>
    <t>Производство</t>
  </si>
  <si>
    <t>Пространственные и природно-географические ресурсы</t>
  </si>
  <si>
    <t>Управление</t>
  </si>
  <si>
    <t>Мощности производства полупроводников</t>
  </si>
  <si>
    <t>Познание</t>
  </si>
  <si>
    <t>Вычислительные компоненты</t>
  </si>
  <si>
    <t>Обучение</t>
  </si>
  <si>
    <t>ЦОД и вычислительная инфраструктура</t>
  </si>
  <si>
    <t>Война</t>
  </si>
  <si>
    <t>Сетевые ресурсы</t>
  </si>
  <si>
    <t>Экономика</t>
  </si>
  <si>
    <t>Конечные устройства</t>
  </si>
  <si>
    <t>Государственное управление</t>
  </si>
  <si>
    <t>II. Программно-алгоритмический потенциал</t>
  </si>
  <si>
    <t>Принятие ИИ</t>
  </si>
  <si>
    <t>Базовый программный стек вычислений</t>
  </si>
  <si>
    <t>Стек разработки ИИ</t>
  </si>
  <si>
    <t>Стек эксплуатации ИИ</t>
  </si>
  <si>
    <t>Математико-алгоритмические ресурсы</t>
  </si>
  <si>
    <t>Методы построения и совершенствования моделей</t>
  </si>
  <si>
    <t>III. Данные, модели и информационная безопасность</t>
  </si>
  <si>
    <t>Исходные данные</t>
  </si>
  <si>
    <t>Производные данные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</si>
  <si>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</si>
  <si>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</si>
  <si>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</si>
  <si>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</si>
  <si>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</si>
  <si>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</si>
  <si>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IV. Люди, организация и экономика внедрения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</si>
  <si>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</si>
  <si>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</si>
  <si>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</si>
  <si>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</si>
  <si>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</si>
  <si>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</si>
  <si>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</si>
  <si>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</si>
  <si>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</si>
  <si>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</si>
  <si>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</si>
  <si>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</si>
  <si>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</si>
  <si>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</si>
  <si>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</si>
  <si>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</si>
  <si>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</si>
  <si>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</si>
  <si>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VI. Устойчивость жизненного цикла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</si>
  <si>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</si>
  <si>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</si>
  <si>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</si>
  <si>
    <t>ХОД 2026 — РАСПРЕДЕЛЕНИЕ ОЧКОВ</t>
  </si>
  <si>
    <t>Жёлтые ячейки — ввод игрока.</t>
  </si>
  <si>
    <t>Доступно</t>
  </si>
  <si>
    <t>Распределено</t>
  </si>
  <si>
    <t>Остаток</t>
  </si>
  <si>
    <t>1. РАСПРЕДЕЛЕНИЕ ОЧКОВ ТРАНСФОРМАЦИИ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</si>
  <si>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</si>
  <si>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</si>
  <si>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</si>
  <si>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</si>
  <si>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Очки ИИ в прирост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</si>
  <si>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</si>
  <si>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</si>
  <si>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</si>
  <si>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</si>
  <si>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</si>
  <si>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ОБОРОНА — ВНЕШНЕПОЛИТИЧЕСКИЕ ОЧКИ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</si>
  <si>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</si>
  <si>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</si>
  <si>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</si>
  <si>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</si>
  <si>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Эффект науки</t>
  </si>
  <si>
    <t>Защита с бонусом</t>
  </si>
  <si>
    <t>3. РАСПРЕДЕЛЕНИЕ ОЧКОВ НАУКИ</t>
  </si>
  <si>
    <t>ID технологии</t>
  </si>
  <si>
    <t>Очки науки</t>
  </si>
  <si>
    <t>Примечание</t>
  </si>
  <si>
    <t>Статус после хода</t>
  </si>
  <si>
    <t>Итого вложено</t>
  </si>
  <si>
    <t>Атака с бонусом</t>
  </si>
  <si>
    <t>ХОД 2027 — РАСПРЕДЕЛЕНИЕ ОЧКОВ</t>
  </si>
  <si>
    <t>ХОД 2028 — РАСПРЕДЕЛЕНИЕ ОЧКОВ</t>
  </si>
  <si>
    <t>ХОД 2029 — РАСПРЕДЕЛЕНИЕ ОЧКОВ</t>
  </si>
  <si>
    <t>ХОД 2030 — РАСПРЕДЕЛЕНИЕ ОЧКОВ</t>
  </si>
  <si>
    <t>ХОД 2031 — РАСПРЕДЕЛЕНИЕ ОЧКОВ</t>
  </si>
  <si>
    <t>ХОД 2032 — РАСПРЕДЕЛЕНИЕ ОЧКОВ</t>
  </si>
  <si>
    <t>ХОД 2033 — РАСПРЕДЕЛЕНИЕ ОЧКОВ</t>
  </si>
  <si>
    <t>ХОД 2034 — РАСПРЕДЕЛЕНИЕ ОЧКОВ</t>
  </si>
  <si>
    <t>ХОД 2035 — РАСПРЕДЕЛЕНИЕ ОЧКОВ</t>
  </si>
  <si>
    <t>ХОД 2036 — РАСПРЕДЕЛЕНИЕ ОЧКОВ</t>
  </si>
  <si>
    <t>ХОД 2037 — РАСПРЕДЕЛЕНИЕ ОЧКОВ</t>
  </si>
  <si>
    <t>ХОД 2038 — РАСПРЕДЕЛЕНИЕ ОЧКОВ</t>
  </si>
  <si>
    <t>ХОД 2039 — РАСПРЕДЕЛЕНИЕ ОЧКОВ</t>
  </si>
  <si>
    <t>ХОД 2040 — РАСПРЕДЕЛЕНИЕ ОЧКОВ</t>
  </si>
  <si>
    <t>Шанс улучшения</t>
  </si>
  <si>
    <t>Шанс без изменений</t>
  </si>
  <si>
    <t>Шанс ухудшения</t>
  </si>
  <si>
    <t>Бросок 0–100</t>
  </si>
  <si>
    <t>ЭФФЕКТЫ ИЗУЧЕННЫХ ТЕХНОЛОГИЙ</t>
  </si>
  <si>
    <t>Значения и штрафы складываются. Изучение в году t даёт эффекты с года t+1. Проценты — доли от вложений.</t>
  </si>
  <si>
    <t>СУММАРНЫЕ БОНУСЫ ПО ГОДАМ</t>
  </si>
  <si>
    <t>Направление</t>
  </si>
  <si>
    <t>Наука все</t>
  </si>
  <si>
    <t>Наука M</t>
  </si>
  <si>
    <t>Наука M/A/X</t>
  </si>
  <si>
    <t>ИИ</t>
  </si>
  <si>
    <t>Дипломатия</t>
  </si>
  <si>
    <t>Трансформация</t>
  </si>
  <si>
    <t>Атака Ареса</t>
  </si>
  <si>
    <t>Атака Афины</t>
  </si>
  <si>
    <t>Атака Аполлона</t>
  </si>
  <si>
    <t>Защита Ареса</t>
  </si>
  <si>
    <t>Защита Афины</t>
  </si>
  <si>
    <t>Защита Аполлона</t>
  </si>
  <si>
    <t>Карты прорывов</t>
  </si>
  <si>
    <t>Код</t>
  </si>
  <si>
    <t>Компонент</t>
  </si>
  <si>
    <t>Тип эффекта</t>
  </si>
  <si>
    <t>Значение</t>
  </si>
  <si>
    <t>С года</t>
  </si>
  <si>
    <t>Эффект из рулбука</t>
  </si>
  <si>
    <t>Вычислительные компоненты: +0,20</t>
  </si>
  <si>
    <t>Вычислительные компоненты: +0,30</t>
  </si>
  <si>
    <t>Базовый программный стек вычислений: +0,20</t>
  </si>
  <si>
    <t>Минерально-сырьевые ресурсы: -0,15</t>
  </si>
  <si>
    <t>Мощности производства полупроводников: +0,40</t>
  </si>
  <si>
    <t>Химические и технологические материалы: +0,20</t>
  </si>
  <si>
    <t>Минерально-сырьевые ресурсы: -0,40</t>
  </si>
  <si>
    <t>ЦОД и вычислительная инфраструктура: +0,40</t>
  </si>
  <si>
    <t>Стек эксплуатации ИИ: +0,20</t>
  </si>
  <si>
    <t>Сетевые ресурсы: +0,20</t>
  </si>
  <si>
    <t>Энергетические ресурсы: -0,25</t>
  </si>
  <si>
    <t>Вода и ресурс отвода тепла: -0,20</t>
  </si>
  <si>
    <t>Сетевые ресурсы: +0,50</t>
  </si>
  <si>
    <t>ЦОД и вычислительная инфраструктура: +0,35</t>
  </si>
  <si>
    <t>Интеграционные ресурсы: +0,25</t>
  </si>
  <si>
    <t>Модификатор</t>
  </si>
  <si>
    <t>Защита от войны Афины: +15%</t>
  </si>
  <si>
    <t>Энергетические ресурсы: -0,35</t>
  </si>
  <si>
    <t>Вода и ресурс отвода тепла: -0,25</t>
  </si>
  <si>
    <t>Пространственные и природно-географические ресурсы: -0,20</t>
  </si>
  <si>
    <t>Вычислительные компоненты: +0,50</t>
  </si>
  <si>
    <t>Математико-алгоритмические ресурсы: +0,35</t>
  </si>
  <si>
    <t>Мощности производства полупроводников: +0,35</t>
  </si>
  <si>
    <t>Модельные ресурсы: +0,25</t>
  </si>
  <si>
    <t>Прирост</t>
  </si>
  <si>
    <t>Прирост ЦОД и вычислительной инфраструктуры: +0,10/год</t>
  </si>
  <si>
    <t>Эффективность науки для ветви M: +10%</t>
  </si>
  <si>
    <t>Минерально-сырьевые ресурсы: -0,45</t>
  </si>
  <si>
    <t>Энергетические ресурсы: -0,50</t>
  </si>
  <si>
    <t>Вода и ресурс отвода тепла: -0,40</t>
  </si>
  <si>
    <t>Пространственные и природно-географические ресурсы: -0,30</t>
  </si>
  <si>
    <t>Методы построения и совершенствования моделей: +0,20</t>
  </si>
  <si>
    <t>Модельные ресурсы: +0,30</t>
  </si>
  <si>
    <t>Атака в войне Аполлона: +10%</t>
  </si>
  <si>
    <t>Энергетические ресурсы: -0,15</t>
  </si>
  <si>
    <t>Методы построения и совершенствования моделей: +0,30</t>
  </si>
  <si>
    <t>Прирост сферы «Познание»: +0,08/год</t>
  </si>
  <si>
    <t>Ресурсы оценки: +0,20</t>
  </si>
  <si>
    <t>Модельные ресурсы: +0,40; прирост +0,08/год</t>
  </si>
  <si>
    <t>Прирост сферы «Управление»: +0,05/год</t>
  </si>
  <si>
    <t>Кибербезопасностные ресурсы: -0,15</t>
  </si>
  <si>
    <t>Сфера «Познание»: +0,30; прирост +0,10/год</t>
  </si>
  <si>
    <t>Прирост сферы «Государственное управление»: +0,08/год</t>
  </si>
  <si>
    <t>Математико-алгоритмические ресурсы: +0,20</t>
  </si>
  <si>
    <t>Атака в войне Афины: +10%</t>
  </si>
  <si>
    <t>Энергетические ресурсы: -0,30</t>
  </si>
  <si>
    <t>Социальное доверие: -0,15</t>
  </si>
  <si>
    <t>Прирост методов построения и совершенствования моделей: +0,15/год</t>
  </si>
  <si>
    <t>Прирост модельных ресурсов: +0,10/год</t>
  </si>
  <si>
    <t>Математико-алгоритмические ресурсы: +0,25</t>
  </si>
  <si>
    <t>Эффективность науки для ветвей M, A, X: +15%</t>
  </si>
  <si>
    <t>Энергетические ресурсы: -0,40</t>
  </si>
  <si>
    <t>Финансовые ресурсы: -0,20</t>
  </si>
  <si>
    <t>Социальное доверие: -0,20</t>
  </si>
  <si>
    <t>Интеграционные ресурсы: +0,20</t>
  </si>
  <si>
    <t>Производные данные: +0,30; прирост +0,10/год</t>
  </si>
  <si>
    <t>Социальное доверие: -0,10</t>
  </si>
  <si>
    <t>Контекстные информационные ресурсы: +0,30</t>
  </si>
  <si>
    <t>Прирост сферы «Познание»: +0,05/год</t>
  </si>
  <si>
    <t>Документационные ресурсы: +0,20</t>
  </si>
  <si>
    <t>Финансовые ресурсы: -0,15</t>
  </si>
  <si>
    <t>Документационные ресурсы: +0,30</t>
  </si>
  <si>
    <t>Права доступа к информационным ресурсам: +0,20</t>
  </si>
  <si>
    <t>Прирост сферы «Государственное управление»: +0,05/год</t>
  </si>
  <si>
    <t>Энергетические ресурсы: -0,20</t>
  </si>
  <si>
    <t>Контекстные информационные ресурсы: +0,50; прирост +0,10/год</t>
  </si>
  <si>
    <t>Интеграционные ресурсы: +0,30</t>
  </si>
  <si>
    <t>Защита от войны Аполлона: +15%</t>
  </si>
  <si>
    <t>Финансовые ресурсы: -0,25</t>
  </si>
  <si>
    <t>Кибербезопасностные ресурсы: -0,20</t>
  </si>
  <si>
    <t>Прирост исходных данных: +0,10/год</t>
  </si>
  <si>
    <t>Прирост производных данных: +0,15/год</t>
  </si>
  <si>
    <t>Прирост ресурсов оценки: +0,10/год</t>
  </si>
  <si>
    <t>Прирост сферы «Принятие ИИ»: +0,05/год</t>
  </si>
  <si>
    <t>Вода и ресурс отвода тепла: -0,15</t>
  </si>
  <si>
    <t>Организационная архитектура внедрения: +0,30; прирост +0,08/год</t>
  </si>
  <si>
    <t>Оцифрованность деятельности: +0,20</t>
  </si>
  <si>
    <t>Прирост сферы «Управление»: +0,08/год</t>
  </si>
  <si>
    <t>Организационная архитектура внедрения: +0,20</t>
  </si>
  <si>
    <t>Права доступа к информационным ресурсам: -0,20</t>
  </si>
  <si>
    <t>Организационная способность к изменению: +0,40</t>
  </si>
  <si>
    <t>Прирост сферы «Экономика»: +0,08/год</t>
  </si>
  <si>
    <t>Готовность работников к использованию ИИ: -0,15</t>
  </si>
  <si>
    <t>Прирост сферы «Государственное управление»: +0,12/год</t>
  </si>
  <si>
    <t>Система управления ИИ: +0,30</t>
  </si>
  <si>
    <t>Эффективность улучшения дипломатических отношений: +10%</t>
  </si>
  <si>
    <t>Кибербезопасностные ресурсы: -0,25</t>
  </si>
  <si>
    <t>Сфера «Управление»: +0,40</t>
  </si>
  <si>
    <t>Сфера «Государственное управление»: +0,30</t>
  </si>
  <si>
    <t>Сфера «Познание»: +0,25</t>
  </si>
  <si>
    <t>Прирост сферы «Экономика»: +0,10/год</t>
  </si>
  <si>
    <t>Атака в войне Афины: +15%</t>
  </si>
  <si>
    <t>Атака в войне Аполлона: +15%</t>
  </si>
  <si>
    <t>Кибербезопасностные ресурсы: -0,30</t>
  </si>
  <si>
    <t>Права доступа к информационным ресурсам: -0,25</t>
  </si>
  <si>
    <t>Организационная способность к изменению: -0,15</t>
  </si>
  <si>
    <t>Сфера «Производство»: +0,30; прирост +0,08/год</t>
  </si>
  <si>
    <t>Готовность работников к использованию ИИ: +0,20</t>
  </si>
  <si>
    <t>Защита от войны Афины: +10%</t>
  </si>
  <si>
    <t>Прирост сферы «Война»: +0,08/год</t>
  </si>
  <si>
    <t>Сфера «Производство»: +0,20</t>
  </si>
  <si>
    <t>Атака в войне Ареса: +15%</t>
  </si>
  <si>
    <t>Минерально-сырьевые ресурсы: -0,20</t>
  </si>
  <si>
    <t>Прирост сферы «Производство»: +0,12/год</t>
  </si>
  <si>
    <t>Оцифрованность деятельности: +0,25</t>
  </si>
  <si>
    <t>Прирост сферы «Экономика»: +0,05/год</t>
  </si>
  <si>
    <t>Минерально-сырьевые ресурсы: -0,30</t>
  </si>
  <si>
    <t>Квалифицированный человеческий ресурс: -0,15</t>
  </si>
  <si>
    <t>Сфера «Производство»: +0,50; прирост +0,15/год</t>
  </si>
  <si>
    <t>Организационная архитектура внедрения: +0,30</t>
  </si>
  <si>
    <t>Оцифрованность деятельности: +0,30</t>
  </si>
  <si>
    <t>Квалифицированный человеческий ресурс: +0,20</t>
  </si>
  <si>
    <t>Эффективность трансформации в ресурсах группы I: +15%</t>
  </si>
  <si>
    <t>Вода и ресурс отвода тепла: -0,30</t>
  </si>
  <si>
    <t>Пространственные и природно-географические ресурсы: -0,25</t>
  </si>
  <si>
    <t>Ресурсы оценки: +0,30</t>
  </si>
  <si>
    <t>Социальное доверие: +0,20</t>
  </si>
  <si>
    <t>Модельные ресурсы: -0,10</t>
  </si>
  <si>
    <t>Кибербезопасностные ресурсы: +0,30</t>
  </si>
  <si>
    <t>Ресурсы оценки: +0,40</t>
  </si>
  <si>
    <t>Прирост кибербезопасностных ресурсов: +0,08/год</t>
  </si>
  <si>
    <t>Защита от войны Аполлона: +10%</t>
  </si>
  <si>
    <t>Вычислительные компоненты: -0,10</t>
  </si>
  <si>
    <t>Система управления ИИ: +0,40</t>
  </si>
  <si>
    <t>Прирост сферы «Принятие ИИ»: +0,08/год</t>
  </si>
  <si>
    <t>Энергетические ресурсы: -0,10</t>
  </si>
  <si>
    <t>Система управления ИИ: +0,50</t>
  </si>
  <si>
    <t>Регуляторная и стандартная среда: +0,30</t>
  </si>
  <si>
    <t>Прирост социального доверия: +0,10/год</t>
  </si>
  <si>
    <t>Защита от войны Ареса: +10%</t>
  </si>
  <si>
    <t>Финансовые ресурсы: -0,35</t>
  </si>
  <si>
    <t>Вычислительные компоненты: -0,20</t>
  </si>
  <si>
    <t>Эффективность науки во всех направлениях: +15%</t>
  </si>
  <si>
    <t>Прирост сферы «Принятие ИИ»: +0,10/год</t>
  </si>
  <si>
    <t>Эффективность вложения очков ИИ в сферы: +10%</t>
  </si>
  <si>
    <t>Сфера «Государственное управление»: +0,50; прирост +0,12/год</t>
  </si>
  <si>
    <t>Эффективность улучшения дипломатических отношений: +15%</t>
  </si>
  <si>
    <t>Права доступа к информационным ресурсам: -0,30</t>
  </si>
  <si>
    <t>Социальное доверие: -0,25</t>
  </si>
  <si>
    <t>Эффективность науки во всех направлениях: +25%</t>
  </si>
  <si>
    <t>Прирост методов построения и совершенствования моделей: +0,10/год</t>
  </si>
  <si>
    <t>Доступ</t>
  </si>
  <si>
    <t>Доступ к картам технологических прорывов и рисков</t>
  </si>
  <si>
    <t>КИТАЙ — СОСТОЯНИЕ НА НАЧАЛО 2026 ГОДА</t>
  </si>
  <si>
    <t>Россия</t>
  </si>
  <si>
    <t>Всестороннее стратегическое партнёрство и глубокая координация; тесные энергетические, торговые и политические связи. Очень близкие отношения, но формально не военный союз.</t>
  </si>
  <si>
    <t>США</t>
  </si>
  <si>
    <t>Системная стратегическая, технологическая и торговая конкуренция; экспортные ограничения и противоречия по Тайваню и безопасности при сохранении крупной торговли и каналов диалога.</t>
  </si>
  <si>
    <t>Индия</t>
  </si>
  <si>
    <t>Пограничные и геополитические противоречия сохраняются, однако после разрядки 2024–2025 гг. возобновились диалог и постепенная нормализация.</t>
  </si>
  <si>
    <t>Великобритания</t>
  </si>
  <si>
    <t>Экономические связи и дипломатический диалог сохраняются, но отношения ограничены разногласиями по безопасности, технологиям, Гонконгу и внешней политике.</t>
  </si>
  <si>
    <t>Франция</t>
  </si>
  <si>
    <t>Развитое стратегическое взаимодействие и высокий уровень политического диалога; крупные экономические связи при наличии общеевропейских торговых и технологических трений.</t>
  </si>
  <si>
    <t>Германия</t>
  </si>
  <si>
    <t>Очень крупные торгово-промышленные связи и регулярный диалог, но de-risking, торговые споры и вопросы технологической зависимости ограничивают сближение.</t>
  </si>
  <si>
    <t>Япония</t>
  </si>
  <si>
    <t>Большая взаимная торговля сочетается с территориальными, историческими и военно-политическими противоречиями, включая Восточно-Китайское море и Тайвань.</t>
  </si>
  <si>
    <t>Южная Корея</t>
  </si>
  <si>
    <t>Крупная торговля и стратегическое кооперационное партнёрство; отношения улучшаются, но ограничены союзом Сеула с США и вопросами региональной безопасности.</t>
  </si>
  <si>
    <t>Турция</t>
  </si>
  <si>
    <t>Стратегические кооперационные отношения, заметные торговые и инфраструктурные проекты и сопряжение инициатив; сохраняются отдельные политические разногласия.</t>
  </si>
  <si>
    <t>Саудовская Аравия</t>
  </si>
  <si>
    <t>Всеобъемлющее стратегическое партнёрство; тесные энергетические, инвестиционные и торговые связи и высокий уровень политического взаимодействия.</t>
  </si>
  <si>
    <t>Иран</t>
  </si>
  <si>
    <t>Всеобъемлющее стратегическое партнёрство, тесная координация в БРИКС/ШОС и экономико-энергетические связи; это не формальный военный союз.</t>
  </si>
  <si>
    <t>Израиль</t>
  </si>
  <si>
    <t>Сохраняются значимые торговые и технологические связи, но политические отношения осложнены позицией Китая по Газе и тесными связями Пекина с Ираном.</t>
  </si>
  <si>
    <t>Бразилия</t>
  </si>
  <si>
    <t>Всеобъемлющее стратегическое партнёрство, БРИКС и исключительно глубокая торговля; лидеры развивают концепцию сообщества единой судьбы.</t>
  </si>
  <si>
    <t>ОАЭ</t>
  </si>
  <si>
    <t>Всеобъемлющее стратегическое партнёрство; тесные связи в энергетике, логистике, инвестициях, технологиях и инфраструктуре.</t>
  </si>
  <si>
    <t>Индонезия</t>
  </si>
  <si>
    <t>Всеобъемлющее стратегическое партнёрство, крупные инфраструктурные проекты и торговля; отдельные трения в Южно-Китайском море не отменяют общего сближения.</t>
  </si>
  <si>
    <t>Прочее</t>
  </si>
  <si>
    <t>Усреднённый нейтральный уровень для государств, не выделенных в отдельные строки.</t>
  </si>
  <si>
    <t>КИТАЙ — СОСТОЯНИЕ НА НАЧАЛО 2027 ГОДА</t>
  </si>
  <si>
    <t>КИТАЙ — СОСТОЯНИЕ НА НАЧАЛО 2028 ГОДА</t>
  </si>
  <si>
    <t>КИТАЙ — СОСТОЯНИЕ НА НАЧАЛО 2029 ГОДА</t>
  </si>
  <si>
    <t>КИТАЙ — СОСТОЯНИЕ НА НАЧАЛО 2030 ГОДА</t>
  </si>
  <si>
    <t>КИТАЙ — СОСТОЯНИЕ НА НАЧАЛО 2031 ГОДА</t>
  </si>
  <si>
    <t>КИТАЙ — СОСТОЯНИЕ НА НАЧАЛО 2032 ГОДА</t>
  </si>
  <si>
    <t>КИТАЙ — СОСТОЯНИЕ НА НАЧАЛО 2033 ГОДА</t>
  </si>
  <si>
    <t>КИТАЙ — СОСТОЯНИЕ НА НАЧАЛО 2034 ГОДА</t>
  </si>
  <si>
    <t>КИТАЙ — СОСТОЯНИЕ НА НАЧАЛО 2035 ГОДА</t>
  </si>
  <si>
    <t>КИТАЙ — СОСТОЯНИЕ НА НАЧАЛО 2036 ГОДА</t>
  </si>
  <si>
    <t>КИТАЙ — СОСТОЯНИЕ НА НАЧАЛО 2037 ГОДА</t>
  </si>
  <si>
    <t>КИТАЙ — СОСТОЯНИЕ НА НАЧАЛО 2038 ГОДА</t>
  </si>
  <si>
    <t>КИТАЙ — СОСТОЯНИЕ НА НАЧАЛО 2039 ГОДА</t>
  </si>
  <si>
    <t>КИТАЙ — СОСТОЯНИЕ НА НАЧАЛО 2040 ГОДА</t>
  </si>
  <si>
    <t>КИТАЙ — СОСТОЯНИЕ НА КОНЕЦ 2040 ГОДА</t>
  </si>
  <si>
    <t>На листах Китая вклад науки показан отдельно, а приростные эффекты учитываются в базовом годовом приросте.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</si>
</sst>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;[Red]\-0.00;0.00"/>
  </numFmts>
  <fonts count="15">
    <font>
      <sz val="11"/>
      <name val="Carlito"/>
    </font>
    <font>
      <b/>
      <sz val="18"/>
      <color rgb="FFFFFFFF"/>
      <name val="Carlito"/>
    </font>
    <font>
      <i/>
      <sz val="11"/>
      <color rgb="FF244062"/>
      <name val="Carlito"/>
    </font>
    <font>
      <b/>
      <sz val="11"/>
      <color rgb="FFFFFFFF"/>
      <name val="Carlito"/>
    </font>
    <font>
      <b/>
      <sz val="18"/>
      <name val="Carlito"/>
    </font>
    <font>
      <b/>
      <sz val="8"/>
      <color rgb="FF777777"/>
      <name val="Carlito"/>
    </font>
    <font>
      <b/>
      <sz val="12"/>
      <color rgb="FFFFFFFF"/>
      <name val="Carlito"/>
    </font>
    <font>
      <sz val="11"/>
      <name val="Carlito"/>
    </font>
    <font>
      <b/>
      <sz val="10"/>
      <color rgb="FFFFFFFF"/>
      <name val="Arial"/>
      <family val="2"/>
    </font>
    <font>
      <b/>
      <sz val="10"/>
      <color rgb="FF176576"/>
      <name val="Arial"/>
      <family val="2"/>
    </font>
    <font>
      <b/>
      <sz val="14"/>
      <color rgb="FF19374B"/>
      <name val="Arial"/>
      <family val="2"/>
    </font>
    <font>
      <sz val="10"/>
      <color rgb="FF536574"/>
      <name val="Arial"/>
      <family val="2"/>
    </font>
    <font>
      <b/>
      <sz val="11"/>
      <color rgb="FFFFFFFF"/>
      <name val="Arial"/>
      <family val="2"/>
    </font>
    <font>
      <sz val="10"/>
      <color rgb="FF253441"/>
      <name val="Arial"/>
      <family val="2"/>
    </font>
    <font>
      <b/>
      <sz val="10"/>
      <color rgb="FF26778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5A9BD2"/>
      </patternFill>
    </fill>
    <fill>
      <patternFill patternType="solid">
        <fgColor rgb="FFE8F4F7"/>
      </patternFill>
    </fill>
    <fill>
      <patternFill patternType="solid">
        <fgColor rgb="FF163044"/>
      </patternFill>
    </fill>
    <fill>
      <patternFill patternType="solid">
        <fgColor rgb="FF26778A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D8E4EA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3" fillId="6" borderId="0" xfId="1" applyFont="1" applyFill="1" applyAlignment="1">
      <alignment wrapText="1"/>
    </xf>
    <xf numFmtId="0" fontId="5" fillId="7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7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0" fillId="8" borderId="0" xfId="1" applyFont="1" applyFill="1" applyAlignment="1">
      <alignment wrapText="1"/>
    </xf>
    <xf numFmtId="0" fontId="0" fillId="9" borderId="0" xfId="1" applyFont="1" applyFill="1" applyAlignment="1">
      <alignment wrapText="1"/>
    </xf>
    <xf numFmtId="165" fontId="0" fillId="0" borderId="0" xfId="1" applyNumberFormat="1" applyFont="1" applyAlignment="1">
      <alignment wrapText="1"/>
    </xf>
    <xf numFmtId="0" fontId="8" fillId="10" borderId="0" xfId="0" applyFont="1" applyFill="1" applyAlignment="1">
      <alignment vertical="center" wrapText="1"/>
    </xf>
    <xf numFmtId="166" fontId="0" fillId="0" borderId="0" xfId="0" applyNumberFormat="1" applyAlignment="1">
      <alignment wrapText="1"/>
    </xf>
    <xf numFmtId="9" fontId="0" fillId="11" borderId="0" xfId="0" applyNumberFormat="1" applyFill="1" applyAlignment="1">
      <alignment wrapText="1"/>
    </xf>
    <xf numFmtId="0" fontId="0" fillId="11" borderId="0" xfId="0" applyFill="1" applyAlignment="1">
      <alignment wrapText="1"/>
    </xf>
    <xf numFmtId="0" fontId="9" fillId="11" borderId="0" xfId="0" applyFont="1" applyFill="1" applyAlignment="1">
      <alignment wrapText="1"/>
    </xf>
    <xf numFmtId="0" fontId="10" fillId="0" borderId="0" xfId="0" applyFont="1"/>
    <xf numFmtId="0" fontId="11" fillId="0" borderId="0" xfId="0" applyFont="1"/>
    <xf numFmtId="0" fontId="8" fillId="12" borderId="0" xfId="0" applyFont="1" applyFill="1" applyAlignment="1">
      <alignment vertical="center"/>
    </xf>
    <xf numFmtId="0" fontId="12" fillId="13" borderId="0" xfId="0" applyFont="1" applyFill="1"/>
    <xf numFmtId="0" fontId="13" fillId="0" borderId="0" xfId="0" applyFont="1"/>
    <xf numFmtId="0" fontId="14" fillId="0" borderId="0" xfId="0" applyFont="1"/>
    <xf numFmtId="166" fontId="13" fillId="0" borderId="0" xfId="0" applyNumberFormat="1" applyFont="1"/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0" fontId="14" fillId="0" borderId="1" xfId="0" applyFont="1" applyBorder="1"/>
    <xf numFmtId="0" fontId="13" fillId="0" borderId="1" xfId="0" applyFont="1" applyBorder="1"/>
    <xf numFmtId="166" fontId="13" fillId="0" borderId="1" xfId="0" applyNumberFormat="1" applyFont="1" applyBorder="1"/>
    <xf numFmtId="0" fontId="8" fillId="12" borderId="0" xfId="0" applyFont="1" applyFill="1" applyAlignment="1">
      <alignment wrapText="1"/>
    </xf>
    <xf numFmtId="0" fontId="0" fillId="0" borderId="0" xfId="1" applyFont="1" applyAlignment="1">
      <alignment wrapText="1"/>
    </xf>
    <xf numFmtId="0" fontId="4" fillId="5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/>
    </xf>
    <xf numFmtId="0" fontId="6" fillId="4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wrapText="1"/>
    </xf>
    <xf numFmtId="164" fontId="4" fillId="5" borderId="0" xfId="1" applyNumberFormat="1" applyFont="1" applyFill="1" applyAlignment="1">
      <alignment horizontal="center" wrapText="1"/>
    </xf>
    <xf numFmtId="0" fontId="3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0"/>
  <sheetViews>
    <sheetView topLeftCell="A24" zoomScale="70" zoomScaleNormal="70" workbookViewId="0">
      <selection activeCell="A27" sqref="A27"/>
    </sheetView>
  </sheetViews>
  <sheetFormatPr defaultRowHeight="14.25"/>
  <cols>
    <col min="1" max="1" width="8" customWidth="1"/>
    <col min="2" max="2" width="24" customWidth="1"/>
    <col min="3" max="3" width="9" customWidth="1"/>
    <col min="4" max="4" width="31" customWidth="1"/>
    <col min="5" max="8" width="11" customWidth="1"/>
    <col min="9" max="9" width="42" customWidth="1"/>
    <col min="10" max="10" width="48" customWidth="1"/>
    <col min="11" max="25" width="11" customWidth="1"/>
    <col min="26" max="26" width="13" customWidth="1"/>
    <col min="27" max="27" width="11" customWidth="1"/>
    <col min="28" max="28" width="15" customWidth="1"/>
    <col min="29" max="58" width="3" customWidth="1"/>
    <col min="59" max="60" width="15" customWidth="1"/>
  </cols>
  <sheetData>
    <row r="1" spans="1:60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60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spans="1:60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5" spans="1:60" ht="15">
      <c r="A5" s="32" t="s">
        <v>2</v>
      </c>
      <c r="B5" s="32"/>
      <c r="C5" s="32"/>
      <c r="E5" s="32" t="s">
        <v>3</v>
      </c>
      <c r="F5" s="32"/>
      <c r="G5" s="32"/>
      <c r="I5" s="32" t="s">
        <v>4</v>
      </c>
      <c r="J5" s="32"/>
      <c r="K5" s="32"/>
      <c r="M5" s="32" t="s">
        <v>5</v>
      </c>
      <c r="N5" s="32"/>
    </row>
    <row r="6" spans="1:60">
      <c r="A6" s="29">
        <v>40</v>
      </c>
      <c r="B6" s="29"/>
      <c r="C6" s="29"/>
      <c r="E6" s="29">
        <v>6</v>
      </c>
      <c r="F6" s="29"/>
      <c r="G6" s="29"/>
      <c r="I6" s="29">
        <v>4</v>
      </c>
      <c r="J6" s="29"/>
      <c r="K6" s="29"/>
      <c r="M6" s="29">
        <v>6</v>
      </c>
      <c r="N6" s="29"/>
    </row>
    <row r="7" spans="1:60">
      <c r="A7" s="29"/>
      <c r="B7" s="29"/>
      <c r="C7" s="29"/>
      <c r="E7" s="29"/>
      <c r="F7" s="29"/>
      <c r="G7" s="29"/>
      <c r="I7" s="29"/>
      <c r="J7" s="29"/>
      <c r="K7" s="29"/>
      <c r="M7" s="29"/>
      <c r="N7" s="29"/>
    </row>
    <row r="10" spans="1:60" ht="57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  <c r="O10" s="1" t="s">
        <v>20</v>
      </c>
      <c r="P10" s="1" t="s">
        <v>21</v>
      </c>
      <c r="Q10" s="1" t="s">
        <v>22</v>
      </c>
      <c r="R10" s="1" t="s">
        <v>23</v>
      </c>
      <c r="S10" s="1" t="s">
        <v>24</v>
      </c>
      <c r="T10" s="1" t="s">
        <v>25</v>
      </c>
      <c r="U10" s="1" t="s">
        <v>26</v>
      </c>
      <c r="V10" s="1" t="s">
        <v>27</v>
      </c>
      <c r="W10" s="1" t="s">
        <v>28</v>
      </c>
      <c r="X10" s="1" t="s">
        <v>29</v>
      </c>
      <c r="Y10" s="1" t="s">
        <v>30</v>
      </c>
      <c r="Z10" s="1" t="s">
        <v>31</v>
      </c>
      <c r="AA10" s="1" t="s">
        <v>32</v>
      </c>
      <c r="AB10" s="1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54</v>
      </c>
      <c r="AX10" s="2" t="s">
        <v>55</v>
      </c>
      <c r="AY10" s="2" t="s">
        <v>56</v>
      </c>
      <c r="AZ10" s="2" t="s">
        <v>57</v>
      </c>
      <c r="BA10" s="2" t="s">
        <v>58</v>
      </c>
      <c r="BB10" s="2" t="s">
        <v>59</v>
      </c>
      <c r="BC10" s="2" t="s">
        <v>60</v>
      </c>
      <c r="BD10" s="2" t="s">
        <v>61</v>
      </c>
      <c r="BE10" s="2" t="s">
        <v>62</v>
      </c>
      <c r="BF10" s="2" t="s">
        <v>63</v>
      </c>
      <c r="BG10" s="27" t="s">
        <v>64</v>
      </c>
      <c r="BH10" s="27" t="s">
        <v>65</v>
      </c>
    </row>
    <row r="11" spans="1:60" ht="199.5">
      <c r="A11" s="3" t="s">
        <v>66</v>
      </c>
      <c r="B11" s="3" t="s">
        <v>67</v>
      </c>
      <c r="C11" s="3" t="s">
        <v>68</v>
      </c>
      <c r="D11" s="3" t="s">
        <v>69</v>
      </c>
      <c r="E11" s="3">
        <v>20</v>
      </c>
      <c r="F11" s="3"/>
      <c r="G11" s="3"/>
      <c r="H11" s="3"/>
      <c r="I11" s="3" t="s">
        <v>70</v>
      </c>
      <c r="J11" s="3" t="s">
        <v>71</v>
      </c>
      <c r="K11" s="4">
        <f>SUMIF('Ход 2026'!$G$29:$G$38,$A11,'Ход 2026'!$I$29:$I$38)*(1+'Эффекты технологий'!J$7)</f>
        <v>20</v>
      </c>
      <c r="L11" s="4">
        <f>SUMIF('Ход 2027'!$G$29:$G$38,$A11,'Ход 2027'!$I$29:$I$38)*(1+'Эффекты технологий'!K$7)</f>
        <v>0</v>
      </c>
      <c r="M11" s="4">
        <f>SUMIF('Ход 2028'!$G$29:$G$38,$A11,'Ход 2028'!$I$29:$I$38)*(1+'Эффекты технологий'!L$7)</f>
        <v>0</v>
      </c>
      <c r="N11" s="4">
        <f>SUMIF('Ход 2029'!$G$29:$G$38,$A11,'Ход 2029'!$I$29:$I$38)*(1+'Эффекты технологий'!M$7)</f>
        <v>0</v>
      </c>
      <c r="O11" s="4">
        <f>SUMIF('Ход 2030'!$G$29:$G$38,$A11,'Ход 2030'!$I$29:$I$38)*(1+'Эффекты технологий'!N$7)</f>
        <v>0</v>
      </c>
      <c r="P11" s="4">
        <f>SUMIF('Ход 2031'!$G$29:$G$38,$A11,'Ход 2031'!$I$29:$I$38)*(1+'Эффекты технологий'!O$7)</f>
        <v>0</v>
      </c>
      <c r="Q11" s="4">
        <f>SUMIF('Ход 2032'!$G$29:$G$38,$A11,'Ход 2032'!$I$29:$I$38)*(1+'Эффекты технологий'!P$7)</f>
        <v>0</v>
      </c>
      <c r="R11" s="4">
        <f>SUMIF('Ход 2033'!$G$29:$G$38,$A11,'Ход 2033'!$I$29:$I$38)*(1+'Эффекты технологий'!Q$7)</f>
        <v>0</v>
      </c>
      <c r="S11" s="4">
        <f>SUMIF('Ход 2034'!$G$29:$G$38,$A11,'Ход 2034'!$I$29:$I$38)*(1+'Эффекты технологий'!R$7)</f>
        <v>0</v>
      </c>
      <c r="T11" s="4">
        <f>SUMIF('Ход 2035'!$G$29:$G$38,$A11,'Ход 2035'!$I$29:$I$38)*(1+'Эффекты технологий'!S$7)</f>
        <v>0</v>
      </c>
      <c r="U11" s="4">
        <f>SUMIF('Ход 2036'!$G$29:$G$38,$A11,'Ход 2036'!$I$29:$I$38)*(1+'Эффекты технологий'!T$7)</f>
        <v>0</v>
      </c>
      <c r="V11" s="4">
        <f>SUMIF('Ход 2037'!$G$29:$G$38,$A11,'Ход 2037'!$I$29:$I$38)*(1+'Эффекты технологий'!U$7)</f>
        <v>0</v>
      </c>
      <c r="W11" s="4">
        <f>SUMIF('Ход 2038'!$G$29:$G$38,$A11,'Ход 2038'!$I$29:$I$38)*(1+'Эффекты технологий'!V$7)</f>
        <v>0</v>
      </c>
      <c r="X11" s="4">
        <f>SUMIF('Ход 2039'!$G$29:$G$38,$A11,'Ход 2039'!$I$29:$I$38)*(1+'Эффекты технологий'!W$7)</f>
        <v>0</v>
      </c>
      <c r="Y11" s="4">
        <f>SUMIF('Ход 2040'!$G$29:$G$38,$A11,'Ход 2040'!$I$29:$I$38)*(1+'Эффекты технологий'!X$7)</f>
        <v>0</v>
      </c>
      <c r="Z11" s="5">
        <f t="shared" ref="Z11:Z50" si="0">SUM(K11:Y11)</f>
        <v>20</v>
      </c>
      <c r="AA11" s="5">
        <f t="shared" ref="AA11:AA50" si="1">MAX(0,E11-Z11)</f>
        <v>0</v>
      </c>
      <c r="AB11" s="3" t="str">
        <f t="shared" ref="AB11:AB50" si="2">BF11</f>
        <v>ИЗУЧЕНО</v>
      </c>
      <c r="AC11">
        <f>SUM($K11:K11)</f>
        <v>20</v>
      </c>
      <c r="AD11">
        <f>SUM($K11:L11)</f>
        <v>20</v>
      </c>
      <c r="AE11">
        <f>SUM($K11:M11)</f>
        <v>20</v>
      </c>
      <c r="AF11">
        <f>SUM($K11:N11)</f>
        <v>20</v>
      </c>
      <c r="AG11">
        <f>SUM($K11:O11)</f>
        <v>20</v>
      </c>
      <c r="AH11">
        <f>SUM($K11:P11)</f>
        <v>20</v>
      </c>
      <c r="AI11">
        <f>SUM($K11:Q11)</f>
        <v>20</v>
      </c>
      <c r="AJ11">
        <f>SUM($K11:R11)</f>
        <v>20</v>
      </c>
      <c r="AK11">
        <f>SUM($K11:S11)</f>
        <v>20</v>
      </c>
      <c r="AL11">
        <f>SUM($K11:T11)</f>
        <v>20</v>
      </c>
      <c r="AM11">
        <f>SUM($K11:U11)</f>
        <v>20</v>
      </c>
      <c r="AN11">
        <f>SUM($K11:V11)</f>
        <v>20</v>
      </c>
      <c r="AO11">
        <f>SUM($K11:W11)</f>
        <v>20</v>
      </c>
      <c r="AP11">
        <f>SUM($K11:X11)</f>
        <v>20</v>
      </c>
      <c r="AQ11">
        <f>SUM($K11:Y11)</f>
        <v>20</v>
      </c>
      <c r="AR11" t="str">
        <f t="shared" ref="AR11:AR50" si="3">IF(AND(AC11&gt;=$E11,TRUE),"ИЗУЧЕНО",IF(TRUE,"ОТКРЫТО","ЗАКРЫТО"))</f>
        <v>ИЗУЧЕНО</v>
      </c>
      <c r="AS11" t="str">
        <f t="shared" ref="AS11:AS50" si="4">IF(AND(AD11&gt;=$E11,TRUE),"ИЗУЧЕНО",IF(TRUE,"ОТКРЫТО","ЗАКРЫТО"))</f>
        <v>ИЗУЧЕНО</v>
      </c>
      <c r="AT11" t="str">
        <f t="shared" ref="AT11:AT50" si="5">IF(AND(AE11&gt;=$E11,TRUE),"ИЗУЧЕНО",IF(TRUE,"ОТКРЫТО","ЗАКРЫТО"))</f>
        <v>ИЗУЧЕНО</v>
      </c>
      <c r="AU11" t="str">
        <f t="shared" ref="AU11:AU50" si="6">IF(AND(AF11&gt;=$E11,TRUE),"ИЗУЧЕНО",IF(TRUE,"ОТКРЫТО","ЗАКРЫТО"))</f>
        <v>ИЗУЧЕНО</v>
      </c>
      <c r="AV11" t="str">
        <f t="shared" ref="AV11:AV50" si="7">IF(AND(AG11&gt;=$E11,TRUE),"ИЗУЧЕНО",IF(TRUE,"ОТКРЫТО","ЗАКРЫТО"))</f>
        <v>ИЗУЧЕНО</v>
      </c>
      <c r="AW11" t="str">
        <f t="shared" ref="AW11:AW50" si="8">IF(AND(AH11&gt;=$E11,TRUE),"ИЗУЧЕНО",IF(TRUE,"ОТКРЫТО","ЗАКРЫТО"))</f>
        <v>ИЗУЧЕНО</v>
      </c>
      <c r="AX11" t="str">
        <f t="shared" ref="AX11:AX50" si="9">IF(AND(AI11&gt;=$E11,TRUE),"ИЗУЧЕНО",IF(TRUE,"ОТКРЫТО","ЗАКРЫТО"))</f>
        <v>ИЗУЧЕНО</v>
      </c>
      <c r="AY11" t="str">
        <f t="shared" ref="AY11:AY50" si="10">IF(AND(AJ11&gt;=$E11,TRUE),"ИЗУЧЕНО",IF(TRUE,"ОТКРЫТО","ЗАКРЫТО"))</f>
        <v>ИЗУЧЕНО</v>
      </c>
      <c r="AZ11" t="str">
        <f t="shared" ref="AZ11:AZ50" si="11">IF(AND(AK11&gt;=$E11,TRUE),"ИЗУЧЕНО",IF(TRUE,"ОТКРЫТО","ЗАКРЫТО"))</f>
        <v>ИЗУЧЕНО</v>
      </c>
      <c r="BA11" t="str">
        <f t="shared" ref="BA11:BA50" si="12">IF(AND(AL11&gt;=$E11,TRUE),"ИЗУЧЕНО",IF(TRUE,"ОТКРЫТО","ЗАКРЫТО"))</f>
        <v>ИЗУЧЕНО</v>
      </c>
      <c r="BB11" t="str">
        <f t="shared" ref="BB11:BB50" si="13">IF(AND(AM11&gt;=$E11,TRUE),"ИЗУЧЕНО",IF(TRUE,"ОТКРЫТО","ЗАКРЫТО"))</f>
        <v>ИЗУЧЕНО</v>
      </c>
      <c r="BC11" t="str">
        <f t="shared" ref="BC11:BC50" si="14">IF(AND(AN11&gt;=$E11,TRUE),"ИЗУЧЕНО",IF(TRUE,"ОТКРЫТО","ЗАКРЫТО"))</f>
        <v>ИЗУЧЕНО</v>
      </c>
      <c r="BD11" t="str">
        <f t="shared" ref="BD11:BD50" si="15">IF(AND(AO11&gt;=$E11,TRUE),"ИЗУЧЕНО",IF(TRUE,"ОТКРЫТО","ЗАКРЫТО"))</f>
        <v>ИЗУЧЕНО</v>
      </c>
      <c r="BE11" t="str">
        <f t="shared" ref="BE11:BE50" si="16">IF(AND(AP11&gt;=$E11,TRUE),"ИЗУЧЕНО",IF(TRUE,"ОТКРЫТО","ЗАКРЫТО"))</f>
        <v>ИЗУЧЕНО</v>
      </c>
      <c r="BF11" t="str">
        <f t="shared" ref="BF11:BF50" si="17">IF(AND(AQ11&gt;=$E11,TRUE),"ИЗУЧЕНО",IF(TRUE,"ОТКРЫТО","ЗАКРЫТО"))</f>
        <v>ИЗУЧЕНО</v>
      </c>
      <c r="BG11">
        <f t="shared" ref="BG11:BG50" si="18">IFERROR(2025+MATCH("ИЗУЧЕНО",AR11:BF11,0),"")</f>
        <v>2026</v>
      </c>
      <c r="BH11">
        <f t="shared" ref="BH11:BH50" si="19">IF(BG11="","",BG11+1)</f>
        <v>2027</v>
      </c>
    </row>
    <row r="12" spans="1:60" ht="199.5">
      <c r="A12" s="3" t="s">
        <v>72</v>
      </c>
      <c r="B12" s="3" t="s">
        <v>67</v>
      </c>
      <c r="C12" s="3" t="s">
        <v>73</v>
      </c>
      <c r="D12" s="3" t="s">
        <v>74</v>
      </c>
      <c r="E12" s="3">
        <v>40</v>
      </c>
      <c r="F12" s="3" t="s">
        <v>66</v>
      </c>
      <c r="G12" s="3"/>
      <c r="H12" s="3"/>
      <c r="I12" s="3" t="s">
        <v>75</v>
      </c>
      <c r="J12" s="3" t="s">
        <v>76</v>
      </c>
      <c r="K12" s="4">
        <f>SUMIF('Ход 2026'!$G$29:$G$38,$A12,'Ход 2026'!$I$29:$I$38)*(1+'Эффекты технологий'!J$7)</f>
        <v>0</v>
      </c>
      <c r="L12" s="4">
        <f>SUMIF('Ход 2027'!$G$29:$G$38,$A12,'Ход 2027'!$I$29:$I$38)*(1+'Эффекты технологий'!K$7)</f>
        <v>0</v>
      </c>
      <c r="M12" s="4">
        <f>SUMIF('Ход 2028'!$G$29:$G$38,$A12,'Ход 2028'!$I$29:$I$38)*(1+'Эффекты технологий'!L$7)</f>
        <v>0</v>
      </c>
      <c r="N12" s="4">
        <f>SUMIF('Ход 2029'!$G$29:$G$38,$A12,'Ход 2029'!$I$29:$I$38)*(1+'Эффекты технологий'!M$7)</f>
        <v>0</v>
      </c>
      <c r="O12" s="4">
        <f>SUMIF('Ход 2030'!$G$29:$G$38,$A12,'Ход 2030'!$I$29:$I$38)*(1+'Эффекты технологий'!N$7)</f>
        <v>0</v>
      </c>
      <c r="P12" s="4">
        <f>SUMIF('Ход 2031'!$G$29:$G$38,$A12,'Ход 2031'!$I$29:$I$38)*(1+'Эффекты технологий'!O$7)</f>
        <v>0</v>
      </c>
      <c r="Q12" s="4">
        <f>SUMIF('Ход 2032'!$G$29:$G$38,$A12,'Ход 2032'!$I$29:$I$38)*(1+'Эффекты технологий'!P$7)</f>
        <v>0</v>
      </c>
      <c r="R12" s="4">
        <f>SUMIF('Ход 2033'!$G$29:$G$38,$A12,'Ход 2033'!$I$29:$I$38)*(1+'Эффекты технологий'!Q$7)</f>
        <v>0</v>
      </c>
      <c r="S12" s="4">
        <f>SUMIF('Ход 2034'!$G$29:$G$38,$A12,'Ход 2034'!$I$29:$I$38)*(1+'Эффекты технологий'!R$7)</f>
        <v>0</v>
      </c>
      <c r="T12" s="4">
        <f>SUMIF('Ход 2035'!$G$29:$G$38,$A12,'Ход 2035'!$I$29:$I$38)*(1+'Эффекты технологий'!S$7)</f>
        <v>0</v>
      </c>
      <c r="U12" s="4">
        <f>SUMIF('Ход 2036'!$G$29:$G$38,$A12,'Ход 2036'!$I$29:$I$38)*(1+'Эффекты технологий'!T$7)</f>
        <v>0</v>
      </c>
      <c r="V12" s="4">
        <f>SUMIF('Ход 2037'!$G$29:$G$38,$A12,'Ход 2037'!$I$29:$I$38)*(1+'Эффекты технологий'!U$7)</f>
        <v>0</v>
      </c>
      <c r="W12" s="4">
        <f>SUMIF('Ход 2038'!$G$29:$G$38,$A12,'Ход 2038'!$I$29:$I$38)*(1+'Эффекты технологий'!V$7)</f>
        <v>0</v>
      </c>
      <c r="X12" s="4">
        <f>SUMIF('Ход 2039'!$G$29:$G$38,$A12,'Ход 2039'!$I$29:$I$38)*(1+'Эффекты технологий'!W$7)</f>
        <v>0</v>
      </c>
      <c r="Y12" s="4">
        <f>SUMIF('Ход 2040'!$G$29:$G$38,$A12,'Ход 2040'!$I$29:$I$38)*(1+'Эффекты технологий'!X$7)</f>
        <v>0</v>
      </c>
      <c r="Z12" s="5">
        <f t="shared" si="0"/>
        <v>0</v>
      </c>
      <c r="AA12" s="5">
        <f t="shared" si="1"/>
        <v>40</v>
      </c>
      <c r="AB12" s="3" t="str">
        <f t="shared" si="2"/>
        <v>ОТКРЫТО</v>
      </c>
      <c r="AC12">
        <f>SUM($K12:K12)</f>
        <v>0</v>
      </c>
      <c r="AD12">
        <f>SUM($K12:L12)</f>
        <v>0</v>
      </c>
      <c r="AE12">
        <f>SUM($K12:M12)</f>
        <v>0</v>
      </c>
      <c r="AF12">
        <f>SUM($K12:N12)</f>
        <v>0</v>
      </c>
      <c r="AG12">
        <f>SUM($K12:O12)</f>
        <v>0</v>
      </c>
      <c r="AH12">
        <f>SUM($K12:P12)</f>
        <v>0</v>
      </c>
      <c r="AI12">
        <f>SUM($K12:Q12)</f>
        <v>0</v>
      </c>
      <c r="AJ12">
        <f>SUM($K12:R12)</f>
        <v>0</v>
      </c>
      <c r="AK12">
        <f>SUM($K12:S12)</f>
        <v>0</v>
      </c>
      <c r="AL12">
        <f>SUM($K12:T12)</f>
        <v>0</v>
      </c>
      <c r="AM12">
        <f>SUM($K12:U12)</f>
        <v>0</v>
      </c>
      <c r="AN12">
        <f>SUM($K12:V12)</f>
        <v>0</v>
      </c>
      <c r="AO12">
        <f>SUM($K12:W12)</f>
        <v>0</v>
      </c>
      <c r="AP12">
        <f>SUM($K12:X12)</f>
        <v>0</v>
      </c>
      <c r="AQ12">
        <f>SUM($K12:Y12)</f>
        <v>0</v>
      </c>
      <c r="AR12" t="str">
        <f t="shared" si="3"/>
        <v>ОТКРЫТО</v>
      </c>
      <c r="AS12" t="str">
        <f t="shared" si="4"/>
        <v>ОТКРЫТО</v>
      </c>
      <c r="AT12" t="str">
        <f t="shared" si="5"/>
        <v>ОТКРЫТО</v>
      </c>
      <c r="AU12" t="str">
        <f t="shared" si="6"/>
        <v>ОТКРЫТО</v>
      </c>
      <c r="AV12" t="str">
        <f t="shared" si="7"/>
        <v>ОТКРЫТО</v>
      </c>
      <c r="AW12" t="str">
        <f t="shared" si="8"/>
        <v>ОТКРЫТО</v>
      </c>
      <c r="AX12" t="str">
        <f t="shared" si="9"/>
        <v>ОТКРЫТО</v>
      </c>
      <c r="AY12" t="str">
        <f t="shared" si="10"/>
        <v>ОТКРЫТО</v>
      </c>
      <c r="AZ12" t="str">
        <f t="shared" si="11"/>
        <v>ОТКРЫТО</v>
      </c>
      <c r="BA12" t="str">
        <f t="shared" si="12"/>
        <v>ОТКРЫТО</v>
      </c>
      <c r="BB12" t="str">
        <f t="shared" si="13"/>
        <v>ОТКРЫТО</v>
      </c>
      <c r="BC12" t="str">
        <f t="shared" si="14"/>
        <v>ОТКРЫТО</v>
      </c>
      <c r="BD12" t="str">
        <f t="shared" si="15"/>
        <v>ОТКРЫТО</v>
      </c>
      <c r="BE12" t="str">
        <f t="shared" si="16"/>
        <v>ОТКРЫТО</v>
      </c>
      <c r="BF12" t="str">
        <f t="shared" si="17"/>
        <v>ОТКРЫТО</v>
      </c>
      <c r="BG12" t="str">
        <f t="shared" si="18"/>
        <v/>
      </c>
      <c r="BH12" t="str">
        <f t="shared" si="19"/>
        <v/>
      </c>
    </row>
    <row r="13" spans="1:60" ht="199.5">
      <c r="A13" s="3" t="s">
        <v>77</v>
      </c>
      <c r="B13" s="3" t="s">
        <v>67</v>
      </c>
      <c r="C13" s="3" t="s">
        <v>73</v>
      </c>
      <c r="D13" s="3" t="s">
        <v>78</v>
      </c>
      <c r="E13" s="3">
        <v>45</v>
      </c>
      <c r="F13" s="3" t="s">
        <v>66</v>
      </c>
      <c r="G13" s="3"/>
      <c r="H13" s="3"/>
      <c r="I13" s="3" t="s">
        <v>79</v>
      </c>
      <c r="J13" s="3" t="s">
        <v>80</v>
      </c>
      <c r="K13" s="4">
        <f>SUMIF('Ход 2026'!$G$29:$G$38,$A13,'Ход 2026'!$I$29:$I$38)*(1+'Эффекты технологий'!J$7)</f>
        <v>5</v>
      </c>
      <c r="L13" s="4">
        <f>SUMIF('Ход 2027'!$G$29:$G$38,$A13,'Ход 2027'!$I$29:$I$38)*(1+'Эффекты технологий'!K$7)</f>
        <v>0</v>
      </c>
      <c r="M13" s="4">
        <f>SUMIF('Ход 2028'!$G$29:$G$38,$A13,'Ход 2028'!$I$29:$I$38)*(1+'Эффекты технологий'!L$7)</f>
        <v>0</v>
      </c>
      <c r="N13" s="4">
        <f>SUMIF('Ход 2029'!$G$29:$G$38,$A13,'Ход 2029'!$I$29:$I$38)*(1+'Эффекты технологий'!M$7)</f>
        <v>0</v>
      </c>
      <c r="O13" s="4">
        <f>SUMIF('Ход 2030'!$G$29:$G$38,$A13,'Ход 2030'!$I$29:$I$38)*(1+'Эффекты технологий'!N$7)</f>
        <v>0</v>
      </c>
      <c r="P13" s="4">
        <f>SUMIF('Ход 2031'!$G$29:$G$38,$A13,'Ход 2031'!$I$29:$I$38)*(1+'Эффекты технологий'!O$7)</f>
        <v>0</v>
      </c>
      <c r="Q13" s="4">
        <f>SUMIF('Ход 2032'!$G$29:$G$38,$A13,'Ход 2032'!$I$29:$I$38)*(1+'Эффекты технологий'!P$7)</f>
        <v>0</v>
      </c>
      <c r="R13" s="4">
        <f>SUMIF('Ход 2033'!$G$29:$G$38,$A13,'Ход 2033'!$I$29:$I$38)*(1+'Эффекты технологий'!Q$7)</f>
        <v>0</v>
      </c>
      <c r="S13" s="4">
        <f>SUMIF('Ход 2034'!$G$29:$G$38,$A13,'Ход 2034'!$I$29:$I$38)*(1+'Эффекты технологий'!R$7)</f>
        <v>0</v>
      </c>
      <c r="T13" s="4">
        <f>SUMIF('Ход 2035'!$G$29:$G$38,$A13,'Ход 2035'!$I$29:$I$38)*(1+'Эффекты технологий'!S$7)</f>
        <v>0</v>
      </c>
      <c r="U13" s="4">
        <f>SUMIF('Ход 2036'!$G$29:$G$38,$A13,'Ход 2036'!$I$29:$I$38)*(1+'Эффекты технологий'!T$7)</f>
        <v>0</v>
      </c>
      <c r="V13" s="4">
        <f>SUMIF('Ход 2037'!$G$29:$G$38,$A13,'Ход 2037'!$I$29:$I$38)*(1+'Эффекты технологий'!U$7)</f>
        <v>0</v>
      </c>
      <c r="W13" s="4">
        <f>SUMIF('Ход 2038'!$G$29:$G$38,$A13,'Ход 2038'!$I$29:$I$38)*(1+'Эффекты технологий'!V$7)</f>
        <v>0</v>
      </c>
      <c r="X13" s="4">
        <f>SUMIF('Ход 2039'!$G$29:$G$38,$A13,'Ход 2039'!$I$29:$I$38)*(1+'Эффекты технологий'!W$7)</f>
        <v>0</v>
      </c>
      <c r="Y13" s="4">
        <f>SUMIF('Ход 2040'!$G$29:$G$38,$A13,'Ход 2040'!$I$29:$I$38)*(1+'Эффекты технологий'!X$7)</f>
        <v>0</v>
      </c>
      <c r="Z13" s="5">
        <f t="shared" si="0"/>
        <v>5</v>
      </c>
      <c r="AA13" s="5">
        <f t="shared" si="1"/>
        <v>40</v>
      </c>
      <c r="AB13" s="3" t="str">
        <f t="shared" si="2"/>
        <v>ОТКРЫТО</v>
      </c>
      <c r="AC13">
        <f>SUM($K13:K13)</f>
        <v>5</v>
      </c>
      <c r="AD13">
        <f>SUM($K13:L13)</f>
        <v>5</v>
      </c>
      <c r="AE13">
        <f>SUM($K13:M13)</f>
        <v>5</v>
      </c>
      <c r="AF13">
        <f>SUM($K13:N13)</f>
        <v>5</v>
      </c>
      <c r="AG13">
        <f>SUM($K13:O13)</f>
        <v>5</v>
      </c>
      <c r="AH13">
        <f>SUM($K13:P13)</f>
        <v>5</v>
      </c>
      <c r="AI13">
        <f>SUM($K13:Q13)</f>
        <v>5</v>
      </c>
      <c r="AJ13">
        <f>SUM($K13:R13)</f>
        <v>5</v>
      </c>
      <c r="AK13">
        <f>SUM($K13:S13)</f>
        <v>5</v>
      </c>
      <c r="AL13">
        <f>SUM($K13:T13)</f>
        <v>5</v>
      </c>
      <c r="AM13">
        <f>SUM($K13:U13)</f>
        <v>5</v>
      </c>
      <c r="AN13">
        <f>SUM($K13:V13)</f>
        <v>5</v>
      </c>
      <c r="AO13">
        <f>SUM($K13:W13)</f>
        <v>5</v>
      </c>
      <c r="AP13">
        <f>SUM($K13:X13)</f>
        <v>5</v>
      </c>
      <c r="AQ13">
        <f>SUM($K13:Y13)</f>
        <v>5</v>
      </c>
      <c r="AR13" t="str">
        <f t="shared" si="3"/>
        <v>ОТКРЫТО</v>
      </c>
      <c r="AS13" t="str">
        <f t="shared" si="4"/>
        <v>ОТКРЫТО</v>
      </c>
      <c r="AT13" t="str">
        <f t="shared" si="5"/>
        <v>ОТКРЫТО</v>
      </c>
      <c r="AU13" t="str">
        <f t="shared" si="6"/>
        <v>ОТКРЫТО</v>
      </c>
      <c r="AV13" t="str">
        <f t="shared" si="7"/>
        <v>ОТКРЫТО</v>
      </c>
      <c r="AW13" t="str">
        <f t="shared" si="8"/>
        <v>ОТКРЫТО</v>
      </c>
      <c r="AX13" t="str">
        <f t="shared" si="9"/>
        <v>ОТКРЫТО</v>
      </c>
      <c r="AY13" t="str">
        <f t="shared" si="10"/>
        <v>ОТКРЫТО</v>
      </c>
      <c r="AZ13" t="str">
        <f t="shared" si="11"/>
        <v>ОТКРЫТО</v>
      </c>
      <c r="BA13" t="str">
        <f t="shared" si="12"/>
        <v>ОТКРЫТО</v>
      </c>
      <c r="BB13" t="str">
        <f t="shared" si="13"/>
        <v>ОТКРЫТО</v>
      </c>
      <c r="BC13" t="str">
        <f t="shared" si="14"/>
        <v>ОТКРЫТО</v>
      </c>
      <c r="BD13" t="str">
        <f t="shared" si="15"/>
        <v>ОТКРЫТО</v>
      </c>
      <c r="BE13" t="str">
        <f t="shared" si="16"/>
        <v>ОТКРЫТО</v>
      </c>
      <c r="BF13" t="str">
        <f t="shared" si="17"/>
        <v>ОТКРЫТО</v>
      </c>
      <c r="BG13" t="str">
        <f t="shared" si="18"/>
        <v/>
      </c>
      <c r="BH13" t="str">
        <f t="shared" si="19"/>
        <v/>
      </c>
    </row>
    <row r="14" spans="1:60" ht="199.5">
      <c r="A14" s="3" t="s">
        <v>81</v>
      </c>
      <c r="B14" s="3" t="s">
        <v>67</v>
      </c>
      <c r="C14" s="3" t="s">
        <v>82</v>
      </c>
      <c r="D14" s="3" t="s">
        <v>83</v>
      </c>
      <c r="E14" s="3">
        <v>65</v>
      </c>
      <c r="F14" s="3" t="s">
        <v>72</v>
      </c>
      <c r="G14" s="3" t="s">
        <v>77</v>
      </c>
      <c r="H14" s="3"/>
      <c r="I14" s="3" t="s">
        <v>84</v>
      </c>
      <c r="J14" s="3" t="s">
        <v>85</v>
      </c>
      <c r="K14" s="4">
        <f>SUMIF('Ход 2026'!$G$29:$G$38,$A14,'Ход 2026'!$I$29:$I$38)*(1+'Эффекты технологий'!J$7)</f>
        <v>0</v>
      </c>
      <c r="L14" s="4">
        <f>SUMIF('Ход 2027'!$G$29:$G$38,$A14,'Ход 2027'!$I$29:$I$38)*(1+'Эффекты технологий'!K$7)</f>
        <v>0</v>
      </c>
      <c r="M14" s="4">
        <f>SUMIF('Ход 2028'!$G$29:$G$38,$A14,'Ход 2028'!$I$29:$I$38)*(1+'Эффекты технологий'!L$7)</f>
        <v>0</v>
      </c>
      <c r="N14" s="4">
        <f>SUMIF('Ход 2029'!$G$29:$G$38,$A14,'Ход 2029'!$I$29:$I$38)*(1+'Эффекты технологий'!M$7)</f>
        <v>0</v>
      </c>
      <c r="O14" s="4">
        <f>SUMIF('Ход 2030'!$G$29:$G$38,$A14,'Ход 2030'!$I$29:$I$38)*(1+'Эффекты технологий'!N$7)</f>
        <v>0</v>
      </c>
      <c r="P14" s="4">
        <f>SUMIF('Ход 2031'!$G$29:$G$38,$A14,'Ход 2031'!$I$29:$I$38)*(1+'Эффекты технологий'!O$7)</f>
        <v>0</v>
      </c>
      <c r="Q14" s="4">
        <f>SUMIF('Ход 2032'!$G$29:$G$38,$A14,'Ход 2032'!$I$29:$I$38)*(1+'Эффекты технологий'!P$7)</f>
        <v>0</v>
      </c>
      <c r="R14" s="4">
        <f>SUMIF('Ход 2033'!$G$29:$G$38,$A14,'Ход 2033'!$I$29:$I$38)*(1+'Эффекты технологий'!Q$7)</f>
        <v>0</v>
      </c>
      <c r="S14" s="4">
        <f>SUMIF('Ход 2034'!$G$29:$G$38,$A14,'Ход 2034'!$I$29:$I$38)*(1+'Эффекты технологий'!R$7)</f>
        <v>0</v>
      </c>
      <c r="T14" s="4">
        <f>SUMIF('Ход 2035'!$G$29:$G$38,$A14,'Ход 2035'!$I$29:$I$38)*(1+'Эффекты технологий'!S$7)</f>
        <v>0</v>
      </c>
      <c r="U14" s="4">
        <f>SUMIF('Ход 2036'!$G$29:$G$38,$A14,'Ход 2036'!$I$29:$I$38)*(1+'Эффекты технологий'!T$7)</f>
        <v>0</v>
      </c>
      <c r="V14" s="4">
        <f>SUMIF('Ход 2037'!$G$29:$G$38,$A14,'Ход 2037'!$I$29:$I$38)*(1+'Эффекты технологий'!U$7)</f>
        <v>0</v>
      </c>
      <c r="W14" s="4">
        <f>SUMIF('Ход 2038'!$G$29:$G$38,$A14,'Ход 2038'!$I$29:$I$38)*(1+'Эффекты технологий'!V$7)</f>
        <v>0</v>
      </c>
      <c r="X14" s="4">
        <f>SUMIF('Ход 2039'!$G$29:$G$38,$A14,'Ход 2039'!$I$29:$I$38)*(1+'Эффекты технологий'!W$7)</f>
        <v>0</v>
      </c>
      <c r="Y14" s="4">
        <f>SUMIF('Ход 2040'!$G$29:$G$38,$A14,'Ход 2040'!$I$29:$I$38)*(1+'Эффекты технологий'!X$7)</f>
        <v>0</v>
      </c>
      <c r="Z14" s="5">
        <f t="shared" si="0"/>
        <v>0</v>
      </c>
      <c r="AA14" s="5">
        <f t="shared" si="1"/>
        <v>65</v>
      </c>
      <c r="AB14" s="3" t="str">
        <f t="shared" si="2"/>
        <v>ОТКРЫТО</v>
      </c>
      <c r="AC14">
        <f>SUM($K14:K14)</f>
        <v>0</v>
      </c>
      <c r="AD14">
        <f>SUM($K14:L14)</f>
        <v>0</v>
      </c>
      <c r="AE14">
        <f>SUM($K14:M14)</f>
        <v>0</v>
      </c>
      <c r="AF14">
        <f>SUM($K14:N14)</f>
        <v>0</v>
      </c>
      <c r="AG14">
        <f>SUM($K14:O14)</f>
        <v>0</v>
      </c>
      <c r="AH14">
        <f>SUM($K14:P14)</f>
        <v>0</v>
      </c>
      <c r="AI14">
        <f>SUM($K14:Q14)</f>
        <v>0</v>
      </c>
      <c r="AJ14">
        <f>SUM($K14:R14)</f>
        <v>0</v>
      </c>
      <c r="AK14">
        <f>SUM($K14:S14)</f>
        <v>0</v>
      </c>
      <c r="AL14">
        <f>SUM($K14:T14)</f>
        <v>0</v>
      </c>
      <c r="AM14">
        <f>SUM($K14:U14)</f>
        <v>0</v>
      </c>
      <c r="AN14">
        <f>SUM($K14:V14)</f>
        <v>0</v>
      </c>
      <c r="AO14">
        <f>SUM($K14:W14)</f>
        <v>0</v>
      </c>
      <c r="AP14">
        <f>SUM($K14:X14)</f>
        <v>0</v>
      </c>
      <c r="AQ14">
        <f>SUM($K14:Y14)</f>
        <v>0</v>
      </c>
      <c r="AR14" t="str">
        <f t="shared" si="3"/>
        <v>ОТКРЫТО</v>
      </c>
      <c r="AS14" t="str">
        <f t="shared" si="4"/>
        <v>ОТКРЫТО</v>
      </c>
      <c r="AT14" t="str">
        <f t="shared" si="5"/>
        <v>ОТКРЫТО</v>
      </c>
      <c r="AU14" t="str">
        <f t="shared" si="6"/>
        <v>ОТКРЫТО</v>
      </c>
      <c r="AV14" t="str">
        <f t="shared" si="7"/>
        <v>ОТКРЫТО</v>
      </c>
      <c r="AW14" t="str">
        <f t="shared" si="8"/>
        <v>ОТКРЫТО</v>
      </c>
      <c r="AX14" t="str">
        <f t="shared" si="9"/>
        <v>ОТКРЫТО</v>
      </c>
      <c r="AY14" t="str">
        <f t="shared" si="10"/>
        <v>ОТКРЫТО</v>
      </c>
      <c r="AZ14" t="str">
        <f t="shared" si="11"/>
        <v>ОТКРЫТО</v>
      </c>
      <c r="BA14" t="str">
        <f t="shared" si="12"/>
        <v>ОТКРЫТО</v>
      </c>
      <c r="BB14" t="str">
        <f t="shared" si="13"/>
        <v>ОТКРЫТО</v>
      </c>
      <c r="BC14" t="str">
        <f t="shared" si="14"/>
        <v>ОТКРЫТО</v>
      </c>
      <c r="BD14" t="str">
        <f t="shared" si="15"/>
        <v>ОТКРЫТО</v>
      </c>
      <c r="BE14" t="str">
        <f t="shared" si="16"/>
        <v>ОТКРЫТО</v>
      </c>
      <c r="BF14" t="str">
        <f t="shared" si="17"/>
        <v>ОТКРЫТО</v>
      </c>
      <c r="BG14" t="str">
        <f t="shared" si="18"/>
        <v/>
      </c>
      <c r="BH14" t="str">
        <f t="shared" si="19"/>
        <v/>
      </c>
    </row>
    <row r="15" spans="1:60" ht="213.75">
      <c r="A15" s="3" t="s">
        <v>86</v>
      </c>
      <c r="B15" s="3" t="s">
        <v>67</v>
      </c>
      <c r="C15" s="3" t="s">
        <v>87</v>
      </c>
      <c r="D15" s="3" t="s">
        <v>88</v>
      </c>
      <c r="E15" s="3">
        <v>100</v>
      </c>
      <c r="F15" s="3" t="s">
        <v>81</v>
      </c>
      <c r="G15" s="3"/>
      <c r="H15" s="3"/>
      <c r="I15" s="3" t="s">
        <v>89</v>
      </c>
      <c r="J15" s="3" t="s">
        <v>90</v>
      </c>
      <c r="K15" s="4">
        <f>SUMIF('Ход 2026'!$G$29:$G$38,$A15,'Ход 2026'!$I$29:$I$38)*(1+'Эффекты технологий'!J$7)</f>
        <v>0</v>
      </c>
      <c r="L15" s="4">
        <f>SUMIF('Ход 2027'!$G$29:$G$38,$A15,'Ход 2027'!$I$29:$I$38)*(1+'Эффекты технологий'!K$7)</f>
        <v>0</v>
      </c>
      <c r="M15" s="4">
        <f>SUMIF('Ход 2028'!$G$29:$G$38,$A15,'Ход 2028'!$I$29:$I$38)*(1+'Эффекты технологий'!L$7)</f>
        <v>0</v>
      </c>
      <c r="N15" s="4">
        <f>SUMIF('Ход 2029'!$G$29:$G$38,$A15,'Ход 2029'!$I$29:$I$38)*(1+'Эффекты технологий'!M$7)</f>
        <v>0</v>
      </c>
      <c r="O15" s="4">
        <f>SUMIF('Ход 2030'!$G$29:$G$38,$A15,'Ход 2030'!$I$29:$I$38)*(1+'Эффекты технологий'!N$7)</f>
        <v>0</v>
      </c>
      <c r="P15" s="4">
        <f>SUMIF('Ход 2031'!$G$29:$G$38,$A15,'Ход 2031'!$I$29:$I$38)*(1+'Эффекты технологий'!O$7)</f>
        <v>0</v>
      </c>
      <c r="Q15" s="4">
        <f>SUMIF('Ход 2032'!$G$29:$G$38,$A15,'Ход 2032'!$I$29:$I$38)*(1+'Эффекты технологий'!P$7)</f>
        <v>0</v>
      </c>
      <c r="R15" s="4">
        <f>SUMIF('Ход 2033'!$G$29:$G$38,$A15,'Ход 2033'!$I$29:$I$38)*(1+'Эффекты технологий'!Q$7)</f>
        <v>0</v>
      </c>
      <c r="S15" s="4">
        <f>SUMIF('Ход 2034'!$G$29:$G$38,$A15,'Ход 2034'!$I$29:$I$38)*(1+'Эффекты технологий'!R$7)</f>
        <v>0</v>
      </c>
      <c r="T15" s="4">
        <f>SUMIF('Ход 2035'!$G$29:$G$38,$A15,'Ход 2035'!$I$29:$I$38)*(1+'Эффекты технологий'!S$7)</f>
        <v>0</v>
      </c>
      <c r="U15" s="4">
        <f>SUMIF('Ход 2036'!$G$29:$G$38,$A15,'Ход 2036'!$I$29:$I$38)*(1+'Эффекты технологий'!T$7)</f>
        <v>0</v>
      </c>
      <c r="V15" s="4">
        <f>SUMIF('Ход 2037'!$G$29:$G$38,$A15,'Ход 2037'!$I$29:$I$38)*(1+'Эффекты технологий'!U$7)</f>
        <v>0</v>
      </c>
      <c r="W15" s="4">
        <f>SUMIF('Ход 2038'!$G$29:$G$38,$A15,'Ход 2038'!$I$29:$I$38)*(1+'Эффекты технологий'!V$7)</f>
        <v>0</v>
      </c>
      <c r="X15" s="4">
        <f>SUMIF('Ход 2039'!$G$29:$G$38,$A15,'Ход 2039'!$I$29:$I$38)*(1+'Эффекты технологий'!W$7)</f>
        <v>0</v>
      </c>
      <c r="Y15" s="4">
        <f>SUMIF('Ход 2040'!$G$29:$G$38,$A15,'Ход 2040'!$I$29:$I$38)*(1+'Эффекты технологий'!X$7)</f>
        <v>0</v>
      </c>
      <c r="Z15" s="5">
        <f t="shared" si="0"/>
        <v>0</v>
      </c>
      <c r="AA15" s="5">
        <f t="shared" si="1"/>
        <v>100</v>
      </c>
      <c r="AB15" s="3" t="str">
        <f t="shared" si="2"/>
        <v>ОТКРЫТО</v>
      </c>
      <c r="AC15">
        <f>SUM($K15:K15)</f>
        <v>0</v>
      </c>
      <c r="AD15">
        <f>SUM($K15:L15)</f>
        <v>0</v>
      </c>
      <c r="AE15">
        <f>SUM($K15:M15)</f>
        <v>0</v>
      </c>
      <c r="AF15">
        <f>SUM($K15:N15)</f>
        <v>0</v>
      </c>
      <c r="AG15">
        <f>SUM($K15:O15)</f>
        <v>0</v>
      </c>
      <c r="AH15">
        <f>SUM($K15:P15)</f>
        <v>0</v>
      </c>
      <c r="AI15">
        <f>SUM($K15:Q15)</f>
        <v>0</v>
      </c>
      <c r="AJ15">
        <f>SUM($K15:R15)</f>
        <v>0</v>
      </c>
      <c r="AK15">
        <f>SUM($K15:S15)</f>
        <v>0</v>
      </c>
      <c r="AL15">
        <f>SUM($K15:T15)</f>
        <v>0</v>
      </c>
      <c r="AM15">
        <f>SUM($K15:U15)</f>
        <v>0</v>
      </c>
      <c r="AN15">
        <f>SUM($K15:V15)</f>
        <v>0</v>
      </c>
      <c r="AO15">
        <f>SUM($K15:W15)</f>
        <v>0</v>
      </c>
      <c r="AP15">
        <f>SUM($K15:X15)</f>
        <v>0</v>
      </c>
      <c r="AQ15">
        <f>SUM($K15:Y15)</f>
        <v>0</v>
      </c>
      <c r="AR15" t="str">
        <f t="shared" si="3"/>
        <v>ОТКРЫТО</v>
      </c>
      <c r="AS15" t="str">
        <f t="shared" si="4"/>
        <v>ОТКРЫТО</v>
      </c>
      <c r="AT15" t="str">
        <f t="shared" si="5"/>
        <v>ОТКРЫТО</v>
      </c>
      <c r="AU15" t="str">
        <f t="shared" si="6"/>
        <v>ОТКРЫТО</v>
      </c>
      <c r="AV15" t="str">
        <f t="shared" si="7"/>
        <v>ОТКРЫТО</v>
      </c>
      <c r="AW15" t="str">
        <f t="shared" si="8"/>
        <v>ОТКРЫТО</v>
      </c>
      <c r="AX15" t="str">
        <f t="shared" si="9"/>
        <v>ОТКРЫТО</v>
      </c>
      <c r="AY15" t="str">
        <f t="shared" si="10"/>
        <v>ОТКРЫТО</v>
      </c>
      <c r="AZ15" t="str">
        <f t="shared" si="11"/>
        <v>ОТКРЫТО</v>
      </c>
      <c r="BA15" t="str">
        <f t="shared" si="12"/>
        <v>ОТКРЫТО</v>
      </c>
      <c r="BB15" t="str">
        <f t="shared" si="13"/>
        <v>ОТКРЫТО</v>
      </c>
      <c r="BC15" t="str">
        <f t="shared" si="14"/>
        <v>ОТКРЫТО</v>
      </c>
      <c r="BD15" t="str">
        <f t="shared" si="15"/>
        <v>ОТКРЫТО</v>
      </c>
      <c r="BE15" t="str">
        <f t="shared" si="16"/>
        <v>ОТКРЫТО</v>
      </c>
      <c r="BF15" t="str">
        <f t="shared" si="17"/>
        <v>ОТКРЫТО</v>
      </c>
      <c r="BG15" t="str">
        <f t="shared" si="18"/>
        <v/>
      </c>
      <c r="BH15" t="str">
        <f t="shared" si="19"/>
        <v/>
      </c>
    </row>
    <row r="16" spans="1:60" ht="228">
      <c r="A16" s="3" t="s">
        <v>91</v>
      </c>
      <c r="B16" s="3" t="s">
        <v>67</v>
      </c>
      <c r="C16" s="3" t="s">
        <v>92</v>
      </c>
      <c r="D16" s="3" t="s">
        <v>93</v>
      </c>
      <c r="E16" s="3">
        <v>150</v>
      </c>
      <c r="F16" s="3" t="s">
        <v>86</v>
      </c>
      <c r="G16" s="3"/>
      <c r="H16" s="3"/>
      <c r="I16" s="3" t="s">
        <v>94</v>
      </c>
      <c r="J16" s="3" t="s">
        <v>95</v>
      </c>
      <c r="K16" s="4">
        <f>SUMIF('Ход 2026'!$G$29:$G$38,$A16,'Ход 2026'!$I$29:$I$38)*(1+'Эффекты технологий'!J$7)</f>
        <v>0</v>
      </c>
      <c r="L16" s="4">
        <f>SUMIF('Ход 2027'!$G$29:$G$38,$A16,'Ход 2027'!$I$29:$I$38)*(1+'Эффекты технологий'!K$7)</f>
        <v>0</v>
      </c>
      <c r="M16" s="4">
        <f>SUMIF('Ход 2028'!$G$29:$G$38,$A16,'Ход 2028'!$I$29:$I$38)*(1+'Эффекты технологий'!L$7)</f>
        <v>0</v>
      </c>
      <c r="N16" s="4">
        <f>SUMIF('Ход 2029'!$G$29:$G$38,$A16,'Ход 2029'!$I$29:$I$38)*(1+'Эффекты технологий'!M$7)</f>
        <v>0</v>
      </c>
      <c r="O16" s="4">
        <f>SUMIF('Ход 2030'!$G$29:$G$38,$A16,'Ход 2030'!$I$29:$I$38)*(1+'Эффекты технологий'!N$7)</f>
        <v>0</v>
      </c>
      <c r="P16" s="4">
        <f>SUMIF('Ход 2031'!$G$29:$G$38,$A16,'Ход 2031'!$I$29:$I$38)*(1+'Эффекты технологий'!O$7)</f>
        <v>0</v>
      </c>
      <c r="Q16" s="4">
        <f>SUMIF('Ход 2032'!$G$29:$G$38,$A16,'Ход 2032'!$I$29:$I$38)*(1+'Эффекты технологий'!P$7)</f>
        <v>0</v>
      </c>
      <c r="R16" s="4">
        <f>SUMIF('Ход 2033'!$G$29:$G$38,$A16,'Ход 2033'!$I$29:$I$38)*(1+'Эффекты технологий'!Q$7)</f>
        <v>0</v>
      </c>
      <c r="S16" s="4">
        <f>SUMIF('Ход 2034'!$G$29:$G$38,$A16,'Ход 2034'!$I$29:$I$38)*(1+'Эффекты технологий'!R$7)</f>
        <v>0</v>
      </c>
      <c r="T16" s="4">
        <f>SUMIF('Ход 2035'!$G$29:$G$38,$A16,'Ход 2035'!$I$29:$I$38)*(1+'Эффекты технологий'!S$7)</f>
        <v>0</v>
      </c>
      <c r="U16" s="4">
        <f>SUMIF('Ход 2036'!$G$29:$G$38,$A16,'Ход 2036'!$I$29:$I$38)*(1+'Эффекты технологий'!T$7)</f>
        <v>0</v>
      </c>
      <c r="V16" s="4">
        <f>SUMIF('Ход 2037'!$G$29:$G$38,$A16,'Ход 2037'!$I$29:$I$38)*(1+'Эффекты технологий'!U$7)</f>
        <v>0</v>
      </c>
      <c r="W16" s="4">
        <f>SUMIF('Ход 2038'!$G$29:$G$38,$A16,'Ход 2038'!$I$29:$I$38)*(1+'Эффекты технологий'!V$7)</f>
        <v>0</v>
      </c>
      <c r="X16" s="4">
        <f>SUMIF('Ход 2039'!$G$29:$G$38,$A16,'Ход 2039'!$I$29:$I$38)*(1+'Эффекты технологий'!W$7)</f>
        <v>0</v>
      </c>
      <c r="Y16" s="4">
        <f>SUMIF('Ход 2040'!$G$29:$G$38,$A16,'Ход 2040'!$I$29:$I$38)*(1+'Эффекты технологий'!X$7)</f>
        <v>0</v>
      </c>
      <c r="Z16" s="5">
        <f t="shared" si="0"/>
        <v>0</v>
      </c>
      <c r="AA16" s="5">
        <f t="shared" si="1"/>
        <v>150</v>
      </c>
      <c r="AB16" s="3" t="str">
        <f t="shared" si="2"/>
        <v>ОТКРЫТО</v>
      </c>
      <c r="AC16">
        <f>SUM($K16:K16)</f>
        <v>0</v>
      </c>
      <c r="AD16">
        <f>SUM($K16:L16)</f>
        <v>0</v>
      </c>
      <c r="AE16">
        <f>SUM($K16:M16)</f>
        <v>0</v>
      </c>
      <c r="AF16">
        <f>SUM($K16:N16)</f>
        <v>0</v>
      </c>
      <c r="AG16">
        <f>SUM($K16:O16)</f>
        <v>0</v>
      </c>
      <c r="AH16">
        <f>SUM($K16:P16)</f>
        <v>0</v>
      </c>
      <c r="AI16">
        <f>SUM($K16:Q16)</f>
        <v>0</v>
      </c>
      <c r="AJ16">
        <f>SUM($K16:R16)</f>
        <v>0</v>
      </c>
      <c r="AK16">
        <f>SUM($K16:S16)</f>
        <v>0</v>
      </c>
      <c r="AL16">
        <f>SUM($K16:T16)</f>
        <v>0</v>
      </c>
      <c r="AM16">
        <f>SUM($K16:U16)</f>
        <v>0</v>
      </c>
      <c r="AN16">
        <f>SUM($K16:V16)</f>
        <v>0</v>
      </c>
      <c r="AO16">
        <f>SUM($K16:W16)</f>
        <v>0</v>
      </c>
      <c r="AP16">
        <f>SUM($K16:X16)</f>
        <v>0</v>
      </c>
      <c r="AQ16">
        <f>SUM($K16:Y16)</f>
        <v>0</v>
      </c>
      <c r="AR16" t="str">
        <f t="shared" si="3"/>
        <v>ОТКРЫТО</v>
      </c>
      <c r="AS16" t="str">
        <f t="shared" si="4"/>
        <v>ОТКРЫТО</v>
      </c>
      <c r="AT16" t="str">
        <f t="shared" si="5"/>
        <v>ОТКРЫТО</v>
      </c>
      <c r="AU16" t="str">
        <f t="shared" si="6"/>
        <v>ОТКРЫТО</v>
      </c>
      <c r="AV16" t="str">
        <f t="shared" si="7"/>
        <v>ОТКРЫТО</v>
      </c>
      <c r="AW16" t="str">
        <f t="shared" si="8"/>
        <v>ОТКРЫТО</v>
      </c>
      <c r="AX16" t="str">
        <f t="shared" si="9"/>
        <v>ОТКРЫТО</v>
      </c>
      <c r="AY16" t="str">
        <f t="shared" si="10"/>
        <v>ОТКРЫТО</v>
      </c>
      <c r="AZ16" t="str">
        <f t="shared" si="11"/>
        <v>ОТКРЫТО</v>
      </c>
      <c r="BA16" t="str">
        <f t="shared" si="12"/>
        <v>ОТКРЫТО</v>
      </c>
      <c r="BB16" t="str">
        <f t="shared" si="13"/>
        <v>ОТКРЫТО</v>
      </c>
      <c r="BC16" t="str">
        <f t="shared" si="14"/>
        <v>ОТКРЫТО</v>
      </c>
      <c r="BD16" t="str">
        <f t="shared" si="15"/>
        <v>ОТКРЫТО</v>
      </c>
      <c r="BE16" t="str">
        <f t="shared" si="16"/>
        <v>ОТКРЫТО</v>
      </c>
      <c r="BF16" t="str">
        <f t="shared" si="17"/>
        <v>ОТКРЫТО</v>
      </c>
      <c r="BG16" t="str">
        <f t="shared" si="18"/>
        <v/>
      </c>
      <c r="BH16" t="str">
        <f t="shared" si="19"/>
        <v/>
      </c>
    </row>
    <row r="17" spans="1:60" ht="199.5">
      <c r="A17" s="3" t="s">
        <v>96</v>
      </c>
      <c r="B17" s="3" t="s">
        <v>97</v>
      </c>
      <c r="C17" s="3" t="s">
        <v>68</v>
      </c>
      <c r="D17" s="3" t="s">
        <v>98</v>
      </c>
      <c r="E17" s="3">
        <v>20</v>
      </c>
      <c r="F17" s="3"/>
      <c r="G17" s="3"/>
      <c r="H17" s="3"/>
      <c r="I17" s="3" t="s">
        <v>99</v>
      </c>
      <c r="J17" s="3" t="s">
        <v>100</v>
      </c>
      <c r="K17" s="4">
        <f>SUMIF('Ход 2026'!$G$29:$G$38,$A17,'Ход 2026'!$I$29:$I$38)*(1+'Эффекты технологий'!J$7+'Эффекты технологий'!J$8+'Эффекты технологий'!J$9)</f>
        <v>0</v>
      </c>
      <c r="L17" s="4">
        <f>SUMIF('Ход 2027'!$G$29:$G$38,$A17,'Ход 2027'!$I$29:$I$38)*(1+'Эффекты технологий'!K$7+'Эффекты технологий'!K$8+'Эффекты технологий'!K$9)</f>
        <v>0</v>
      </c>
      <c r="M17" s="4">
        <f>SUMIF('Ход 2028'!$G$29:$G$38,$A17,'Ход 2028'!$I$29:$I$38)*(1+'Эффекты технологий'!L$7+'Эффекты технологий'!L$8+'Эффекты технологий'!L$9)</f>
        <v>0</v>
      </c>
      <c r="N17" s="4">
        <f>SUMIF('Ход 2029'!$G$29:$G$38,$A17,'Ход 2029'!$I$29:$I$38)*(1+'Эффекты технологий'!M$7+'Эффекты технологий'!M$8+'Эффекты технологий'!M$9)</f>
        <v>0</v>
      </c>
      <c r="O17" s="4">
        <f>SUMIF('Ход 2030'!$G$29:$G$38,$A17,'Ход 2030'!$I$29:$I$38)*(1+'Эффекты технологий'!N$7+'Эффекты технологий'!N$8+'Эффекты технологий'!N$9)</f>
        <v>0</v>
      </c>
      <c r="P17" s="4">
        <f>SUMIF('Ход 2031'!$G$29:$G$38,$A17,'Ход 2031'!$I$29:$I$38)*(1+'Эффекты технологий'!O$7+'Эффекты технологий'!O$8+'Эффекты технологий'!O$9)</f>
        <v>0</v>
      </c>
      <c r="Q17" s="4">
        <f>SUMIF('Ход 2032'!$G$29:$G$38,$A17,'Ход 2032'!$I$29:$I$38)*(1+'Эффекты технологий'!P$7+'Эффекты технологий'!P$8+'Эффекты технологий'!P$9)</f>
        <v>0</v>
      </c>
      <c r="R17" s="4">
        <f>SUMIF('Ход 2033'!$G$29:$G$38,$A17,'Ход 2033'!$I$29:$I$38)*(1+'Эффекты технологий'!Q$7+'Эффекты технологий'!Q$8+'Эффекты технологий'!Q$9)</f>
        <v>0</v>
      </c>
      <c r="S17" s="4">
        <f>SUMIF('Ход 2034'!$G$29:$G$38,$A17,'Ход 2034'!$I$29:$I$38)*(1+'Эффекты технологий'!R$7+'Эффекты технологий'!R$8+'Эффекты технологий'!R$9)</f>
        <v>0</v>
      </c>
      <c r="T17" s="4">
        <f>SUMIF('Ход 2035'!$G$29:$G$38,$A17,'Ход 2035'!$I$29:$I$38)*(1+'Эффекты технологий'!S$7+'Эффекты технологий'!S$8+'Эффекты технологий'!S$9)</f>
        <v>0</v>
      </c>
      <c r="U17" s="4">
        <f>SUMIF('Ход 2036'!$G$29:$G$38,$A17,'Ход 2036'!$I$29:$I$38)*(1+'Эффекты технологий'!T$7+'Эффекты технологий'!T$8+'Эффекты технологий'!T$9)</f>
        <v>0</v>
      </c>
      <c r="V17" s="4">
        <f>SUMIF('Ход 2037'!$G$29:$G$38,$A17,'Ход 2037'!$I$29:$I$38)*(1+'Эффекты технологий'!U$7+'Эффекты технологий'!U$8+'Эффекты технологий'!U$9)</f>
        <v>0</v>
      </c>
      <c r="W17" s="4">
        <f>SUMIF('Ход 2038'!$G$29:$G$38,$A17,'Ход 2038'!$I$29:$I$38)*(1+'Эффекты технологий'!V$7+'Эффекты технологий'!V$8+'Эффекты технологий'!V$9)</f>
        <v>0</v>
      </c>
      <c r="X17" s="4">
        <f>SUMIF('Ход 2039'!$G$29:$G$38,$A17,'Ход 2039'!$I$29:$I$38)*(1+'Эффекты технологий'!W$7+'Эффекты технологий'!W$8+'Эффекты технологий'!W$9)</f>
        <v>0</v>
      </c>
      <c r="Y17" s="4">
        <f>SUMIF('Ход 2040'!$G$29:$G$38,$A17,'Ход 2040'!$I$29:$I$38)*(1+'Эффекты технологий'!X$7+'Эффекты технологий'!X$8+'Эффекты технологий'!X$9)</f>
        <v>0</v>
      </c>
      <c r="Z17" s="5">
        <f t="shared" si="0"/>
        <v>0</v>
      </c>
      <c r="AA17" s="5">
        <f t="shared" si="1"/>
        <v>20</v>
      </c>
      <c r="AB17" s="3" t="str">
        <f t="shared" si="2"/>
        <v>ОТКРЫТО</v>
      </c>
      <c r="AC17">
        <f>SUM($K17:K17)</f>
        <v>0</v>
      </c>
      <c r="AD17">
        <f>SUM($K17:L17)</f>
        <v>0</v>
      </c>
      <c r="AE17">
        <f>SUM($K17:M17)</f>
        <v>0</v>
      </c>
      <c r="AF17">
        <f>SUM($K17:N17)</f>
        <v>0</v>
      </c>
      <c r="AG17">
        <f>SUM($K17:O17)</f>
        <v>0</v>
      </c>
      <c r="AH17">
        <f>SUM($K17:P17)</f>
        <v>0</v>
      </c>
      <c r="AI17">
        <f>SUM($K17:Q17)</f>
        <v>0</v>
      </c>
      <c r="AJ17">
        <f>SUM($K17:R17)</f>
        <v>0</v>
      </c>
      <c r="AK17">
        <f>SUM($K17:S17)</f>
        <v>0</v>
      </c>
      <c r="AL17">
        <f>SUM($K17:T17)</f>
        <v>0</v>
      </c>
      <c r="AM17">
        <f>SUM($K17:U17)</f>
        <v>0</v>
      </c>
      <c r="AN17">
        <f>SUM($K17:V17)</f>
        <v>0</v>
      </c>
      <c r="AO17">
        <f>SUM($K17:W17)</f>
        <v>0</v>
      </c>
      <c r="AP17">
        <f>SUM($K17:X17)</f>
        <v>0</v>
      </c>
      <c r="AQ17">
        <f>SUM($K17:Y17)</f>
        <v>0</v>
      </c>
      <c r="AR17" t="str">
        <f t="shared" si="3"/>
        <v>ОТКРЫТО</v>
      </c>
      <c r="AS17" t="str">
        <f t="shared" si="4"/>
        <v>ОТКРЫТО</v>
      </c>
      <c r="AT17" t="str">
        <f t="shared" si="5"/>
        <v>ОТКРЫТО</v>
      </c>
      <c r="AU17" t="str">
        <f t="shared" si="6"/>
        <v>ОТКРЫТО</v>
      </c>
      <c r="AV17" t="str">
        <f t="shared" si="7"/>
        <v>ОТКРЫТО</v>
      </c>
      <c r="AW17" t="str">
        <f t="shared" si="8"/>
        <v>ОТКРЫТО</v>
      </c>
      <c r="AX17" t="str">
        <f t="shared" si="9"/>
        <v>ОТКРЫТО</v>
      </c>
      <c r="AY17" t="str">
        <f t="shared" si="10"/>
        <v>ОТКРЫТО</v>
      </c>
      <c r="AZ17" t="str">
        <f t="shared" si="11"/>
        <v>ОТКРЫТО</v>
      </c>
      <c r="BA17" t="str">
        <f t="shared" si="12"/>
        <v>ОТКРЫТО</v>
      </c>
      <c r="BB17" t="str">
        <f t="shared" si="13"/>
        <v>ОТКРЫТО</v>
      </c>
      <c r="BC17" t="str">
        <f t="shared" si="14"/>
        <v>ОТКРЫТО</v>
      </c>
      <c r="BD17" t="str">
        <f t="shared" si="15"/>
        <v>ОТКРЫТО</v>
      </c>
      <c r="BE17" t="str">
        <f t="shared" si="16"/>
        <v>ОТКРЫТО</v>
      </c>
      <c r="BF17" t="str">
        <f t="shared" si="17"/>
        <v>ОТКРЫТО</v>
      </c>
      <c r="BG17" t="str">
        <f t="shared" si="18"/>
        <v/>
      </c>
      <c r="BH17" t="str">
        <f t="shared" si="19"/>
        <v/>
      </c>
    </row>
    <row r="18" spans="1:60" ht="185.25">
      <c r="A18" s="3" t="s">
        <v>101</v>
      </c>
      <c r="B18" s="3" t="s">
        <v>97</v>
      </c>
      <c r="C18" s="3" t="s">
        <v>73</v>
      </c>
      <c r="D18" s="3" t="s">
        <v>102</v>
      </c>
      <c r="E18" s="3">
        <v>40</v>
      </c>
      <c r="F18" s="3" t="s">
        <v>96</v>
      </c>
      <c r="G18" s="3"/>
      <c r="H18" s="3"/>
      <c r="I18" s="3" t="s">
        <v>103</v>
      </c>
      <c r="J18" s="3" t="s">
        <v>104</v>
      </c>
      <c r="K18" s="4">
        <f>SUMIF('Ход 2026'!$G$29:$G$38,$A18,'Ход 2026'!$I$29:$I$38)*(1+'Эффекты технологий'!J$7+'Эффекты технологий'!J$8+'Эффекты технологий'!J$9)</f>
        <v>0</v>
      </c>
      <c r="L18" s="4">
        <f>SUMIF('Ход 2027'!$G$29:$G$38,$A18,'Ход 2027'!$I$29:$I$38)*(1+'Эффекты технологий'!K$7+'Эффекты технологий'!K$8+'Эффекты технологий'!K$9)</f>
        <v>0</v>
      </c>
      <c r="M18" s="4">
        <f>SUMIF('Ход 2028'!$G$29:$G$38,$A18,'Ход 2028'!$I$29:$I$38)*(1+'Эффекты технологий'!L$7+'Эффекты технологий'!L$8+'Эффекты технологий'!L$9)</f>
        <v>0</v>
      </c>
      <c r="N18" s="4">
        <f>SUMIF('Ход 2029'!$G$29:$G$38,$A18,'Ход 2029'!$I$29:$I$38)*(1+'Эффекты технологий'!M$7+'Эффекты технологий'!M$8+'Эффекты технологий'!M$9)</f>
        <v>0</v>
      </c>
      <c r="O18" s="4">
        <f>SUMIF('Ход 2030'!$G$29:$G$38,$A18,'Ход 2030'!$I$29:$I$38)*(1+'Эффекты технологий'!N$7+'Эффекты технологий'!N$8+'Эффекты технологий'!N$9)</f>
        <v>0</v>
      </c>
      <c r="P18" s="4">
        <f>SUMIF('Ход 2031'!$G$29:$G$38,$A18,'Ход 2031'!$I$29:$I$38)*(1+'Эффекты технологий'!O$7+'Эффекты технологий'!O$8+'Эффекты технологий'!O$9)</f>
        <v>0</v>
      </c>
      <c r="Q18" s="4">
        <f>SUMIF('Ход 2032'!$G$29:$G$38,$A18,'Ход 2032'!$I$29:$I$38)*(1+'Эффекты технологий'!P$7+'Эффекты технологий'!P$8+'Эффекты технологий'!P$9)</f>
        <v>0</v>
      </c>
      <c r="R18" s="4">
        <f>SUMIF('Ход 2033'!$G$29:$G$38,$A18,'Ход 2033'!$I$29:$I$38)*(1+'Эффекты технологий'!Q$7+'Эффекты технологий'!Q$8+'Эффекты технологий'!Q$9)</f>
        <v>0</v>
      </c>
      <c r="S18" s="4">
        <f>SUMIF('Ход 2034'!$G$29:$G$38,$A18,'Ход 2034'!$I$29:$I$38)*(1+'Эффекты технологий'!R$7+'Эффекты технологий'!R$8+'Эффекты технологий'!R$9)</f>
        <v>0</v>
      </c>
      <c r="T18" s="4">
        <f>SUMIF('Ход 2035'!$G$29:$G$38,$A18,'Ход 2035'!$I$29:$I$38)*(1+'Эффекты технологий'!S$7+'Эффекты технологий'!S$8+'Эффекты технологий'!S$9)</f>
        <v>0</v>
      </c>
      <c r="U18" s="4">
        <f>SUMIF('Ход 2036'!$G$29:$G$38,$A18,'Ход 2036'!$I$29:$I$38)*(1+'Эффекты технологий'!T$7+'Эффекты технологий'!T$8+'Эффекты технологий'!T$9)</f>
        <v>0</v>
      </c>
      <c r="V18" s="4">
        <f>SUMIF('Ход 2037'!$G$29:$G$38,$A18,'Ход 2037'!$I$29:$I$38)*(1+'Эффекты технологий'!U$7+'Эффекты технологий'!U$8+'Эффекты технологий'!U$9)</f>
        <v>0</v>
      </c>
      <c r="W18" s="4">
        <f>SUMIF('Ход 2038'!$G$29:$G$38,$A18,'Ход 2038'!$I$29:$I$38)*(1+'Эффекты технологий'!V$7+'Эффекты технологий'!V$8+'Эффекты технологий'!V$9)</f>
        <v>0</v>
      </c>
      <c r="X18" s="4">
        <f>SUMIF('Ход 2039'!$G$29:$G$38,$A18,'Ход 2039'!$I$29:$I$38)*(1+'Эффекты технологий'!W$7+'Эффекты технологий'!W$8+'Эффекты технологий'!W$9)</f>
        <v>0</v>
      </c>
      <c r="Y18" s="4">
        <f>SUMIF('Ход 2040'!$G$29:$G$38,$A18,'Ход 2040'!$I$29:$I$38)*(1+'Эффекты технологий'!X$7+'Эффекты технологий'!X$8+'Эффекты технологий'!X$9)</f>
        <v>0</v>
      </c>
      <c r="Z18" s="5">
        <f t="shared" si="0"/>
        <v>0</v>
      </c>
      <c r="AA18" s="5">
        <f t="shared" si="1"/>
        <v>40</v>
      </c>
      <c r="AB18" s="3" t="str">
        <f t="shared" si="2"/>
        <v>ОТКРЫТО</v>
      </c>
      <c r="AC18">
        <f>SUM($K18:K18)</f>
        <v>0</v>
      </c>
      <c r="AD18">
        <f>SUM($K18:L18)</f>
        <v>0</v>
      </c>
      <c r="AE18">
        <f>SUM($K18:M18)</f>
        <v>0</v>
      </c>
      <c r="AF18">
        <f>SUM($K18:N18)</f>
        <v>0</v>
      </c>
      <c r="AG18">
        <f>SUM($K18:O18)</f>
        <v>0</v>
      </c>
      <c r="AH18">
        <f>SUM($K18:P18)</f>
        <v>0</v>
      </c>
      <c r="AI18">
        <f>SUM($K18:Q18)</f>
        <v>0</v>
      </c>
      <c r="AJ18">
        <f>SUM($K18:R18)</f>
        <v>0</v>
      </c>
      <c r="AK18">
        <f>SUM($K18:S18)</f>
        <v>0</v>
      </c>
      <c r="AL18">
        <f>SUM($K18:T18)</f>
        <v>0</v>
      </c>
      <c r="AM18">
        <f>SUM($K18:U18)</f>
        <v>0</v>
      </c>
      <c r="AN18">
        <f>SUM($K18:V18)</f>
        <v>0</v>
      </c>
      <c r="AO18">
        <f>SUM($K18:W18)</f>
        <v>0</v>
      </c>
      <c r="AP18">
        <f>SUM($K18:X18)</f>
        <v>0</v>
      </c>
      <c r="AQ18">
        <f>SUM($K18:Y18)</f>
        <v>0</v>
      </c>
      <c r="AR18" t="str">
        <f t="shared" si="3"/>
        <v>ОТКРЫТО</v>
      </c>
      <c r="AS18" t="str">
        <f t="shared" si="4"/>
        <v>ОТКРЫТО</v>
      </c>
      <c r="AT18" t="str">
        <f t="shared" si="5"/>
        <v>ОТКРЫТО</v>
      </c>
      <c r="AU18" t="str">
        <f t="shared" si="6"/>
        <v>ОТКРЫТО</v>
      </c>
      <c r="AV18" t="str">
        <f t="shared" si="7"/>
        <v>ОТКРЫТО</v>
      </c>
      <c r="AW18" t="str">
        <f t="shared" si="8"/>
        <v>ОТКРЫТО</v>
      </c>
      <c r="AX18" t="str">
        <f t="shared" si="9"/>
        <v>ОТКРЫТО</v>
      </c>
      <c r="AY18" t="str">
        <f t="shared" si="10"/>
        <v>ОТКРЫТО</v>
      </c>
      <c r="AZ18" t="str">
        <f t="shared" si="11"/>
        <v>ОТКРЫТО</v>
      </c>
      <c r="BA18" t="str">
        <f t="shared" si="12"/>
        <v>ОТКРЫТО</v>
      </c>
      <c r="BB18" t="str">
        <f t="shared" si="13"/>
        <v>ОТКРЫТО</v>
      </c>
      <c r="BC18" t="str">
        <f t="shared" si="14"/>
        <v>ОТКРЫТО</v>
      </c>
      <c r="BD18" t="str">
        <f t="shared" si="15"/>
        <v>ОТКРЫТО</v>
      </c>
      <c r="BE18" t="str">
        <f t="shared" si="16"/>
        <v>ОТКРЫТО</v>
      </c>
      <c r="BF18" t="str">
        <f t="shared" si="17"/>
        <v>ОТКРЫТО</v>
      </c>
      <c r="BG18" t="str">
        <f t="shared" si="18"/>
        <v/>
      </c>
      <c r="BH18" t="str">
        <f t="shared" si="19"/>
        <v/>
      </c>
    </row>
    <row r="19" spans="1:60" ht="185.25">
      <c r="A19" s="3" t="s">
        <v>105</v>
      </c>
      <c r="B19" s="3" t="s">
        <v>97</v>
      </c>
      <c r="C19" s="3" t="s">
        <v>73</v>
      </c>
      <c r="D19" s="3" t="s">
        <v>106</v>
      </c>
      <c r="E19" s="3">
        <v>45</v>
      </c>
      <c r="F19" s="3" t="s">
        <v>96</v>
      </c>
      <c r="G19" s="3"/>
      <c r="H19" s="3"/>
      <c r="I19" s="3" t="s">
        <v>107</v>
      </c>
      <c r="J19" s="3" t="s">
        <v>108</v>
      </c>
      <c r="K19" s="4">
        <f>SUMIF('Ход 2026'!$G$29:$G$38,$A19,'Ход 2026'!$I$29:$I$38)*(1+'Эффекты технологий'!J$7+'Эффекты технологий'!J$8+'Эффекты технологий'!J$9)</f>
        <v>0</v>
      </c>
      <c r="L19" s="4">
        <f>SUMIF('Ход 2027'!$G$29:$G$38,$A19,'Ход 2027'!$I$29:$I$38)*(1+'Эффекты технологий'!K$7+'Эффекты технологий'!K$8+'Эффекты технологий'!K$9)</f>
        <v>0</v>
      </c>
      <c r="M19" s="4">
        <f>SUMIF('Ход 2028'!$G$29:$G$38,$A19,'Ход 2028'!$I$29:$I$38)*(1+'Эффекты технологий'!L$7+'Эффекты технологий'!L$8+'Эффекты технологий'!L$9)</f>
        <v>0</v>
      </c>
      <c r="N19" s="4">
        <f>SUMIF('Ход 2029'!$G$29:$G$38,$A19,'Ход 2029'!$I$29:$I$38)*(1+'Эффекты технологий'!M$7+'Эффекты технологий'!M$8+'Эффекты технологий'!M$9)</f>
        <v>0</v>
      </c>
      <c r="O19" s="4">
        <f>SUMIF('Ход 2030'!$G$29:$G$38,$A19,'Ход 2030'!$I$29:$I$38)*(1+'Эффекты технологий'!N$7+'Эффекты технологий'!N$8+'Эффекты технологий'!N$9)</f>
        <v>0</v>
      </c>
      <c r="P19" s="4">
        <f>SUMIF('Ход 2031'!$G$29:$G$38,$A19,'Ход 2031'!$I$29:$I$38)*(1+'Эффекты технологий'!O$7+'Эффекты технологий'!O$8+'Эффекты технологий'!O$9)</f>
        <v>0</v>
      </c>
      <c r="Q19" s="4">
        <f>SUMIF('Ход 2032'!$G$29:$G$38,$A19,'Ход 2032'!$I$29:$I$38)*(1+'Эффекты технологий'!P$7+'Эффекты технологий'!P$8+'Эффекты технологий'!P$9)</f>
        <v>0</v>
      </c>
      <c r="R19" s="4">
        <f>SUMIF('Ход 2033'!$G$29:$G$38,$A19,'Ход 2033'!$I$29:$I$38)*(1+'Эффекты технологий'!Q$7+'Эффекты технологий'!Q$8+'Эффекты технологий'!Q$9)</f>
        <v>0</v>
      </c>
      <c r="S19" s="4">
        <f>SUMIF('Ход 2034'!$G$29:$G$38,$A19,'Ход 2034'!$I$29:$I$38)*(1+'Эффекты технологий'!R$7+'Эффекты технологий'!R$8+'Эффекты технологий'!R$9)</f>
        <v>0</v>
      </c>
      <c r="T19" s="4">
        <f>SUMIF('Ход 2035'!$G$29:$G$38,$A19,'Ход 2035'!$I$29:$I$38)*(1+'Эффекты технологий'!S$7+'Эффекты технологий'!S$8+'Эффекты технологий'!S$9)</f>
        <v>0</v>
      </c>
      <c r="U19" s="4">
        <f>SUMIF('Ход 2036'!$G$29:$G$38,$A19,'Ход 2036'!$I$29:$I$38)*(1+'Эффекты технологий'!T$7+'Эффекты технологий'!T$8+'Эффекты технологий'!T$9)</f>
        <v>0</v>
      </c>
      <c r="V19" s="4">
        <f>SUMIF('Ход 2037'!$G$29:$G$38,$A19,'Ход 2037'!$I$29:$I$38)*(1+'Эффекты технологий'!U$7+'Эффекты технологий'!U$8+'Эффекты технологий'!U$9)</f>
        <v>0</v>
      </c>
      <c r="W19" s="4">
        <f>SUMIF('Ход 2038'!$G$29:$G$38,$A19,'Ход 2038'!$I$29:$I$38)*(1+'Эффекты технологий'!V$7+'Эффекты технологий'!V$8+'Эффекты технологий'!V$9)</f>
        <v>0</v>
      </c>
      <c r="X19" s="4">
        <f>SUMIF('Ход 2039'!$G$29:$G$38,$A19,'Ход 2039'!$I$29:$I$38)*(1+'Эффекты технологий'!W$7+'Эффекты технологий'!W$8+'Эффекты технологий'!W$9)</f>
        <v>0</v>
      </c>
      <c r="Y19" s="4">
        <f>SUMIF('Ход 2040'!$G$29:$G$38,$A19,'Ход 2040'!$I$29:$I$38)*(1+'Эффекты технологий'!X$7+'Эффекты технологий'!X$8+'Эффекты технологий'!X$9)</f>
        <v>0</v>
      </c>
      <c r="Z19" s="5">
        <f t="shared" si="0"/>
        <v>0</v>
      </c>
      <c r="AA19" s="5">
        <f t="shared" si="1"/>
        <v>45</v>
      </c>
      <c r="AB19" s="3" t="str">
        <f t="shared" si="2"/>
        <v>ОТКРЫТО</v>
      </c>
      <c r="AC19">
        <f>SUM($K19:K19)</f>
        <v>0</v>
      </c>
      <c r="AD19">
        <f>SUM($K19:L19)</f>
        <v>0</v>
      </c>
      <c r="AE19">
        <f>SUM($K19:M19)</f>
        <v>0</v>
      </c>
      <c r="AF19">
        <f>SUM($K19:N19)</f>
        <v>0</v>
      </c>
      <c r="AG19">
        <f>SUM($K19:O19)</f>
        <v>0</v>
      </c>
      <c r="AH19">
        <f>SUM($K19:P19)</f>
        <v>0</v>
      </c>
      <c r="AI19">
        <f>SUM($K19:Q19)</f>
        <v>0</v>
      </c>
      <c r="AJ19">
        <f>SUM($K19:R19)</f>
        <v>0</v>
      </c>
      <c r="AK19">
        <f>SUM($K19:S19)</f>
        <v>0</v>
      </c>
      <c r="AL19">
        <f>SUM($K19:T19)</f>
        <v>0</v>
      </c>
      <c r="AM19">
        <f>SUM($K19:U19)</f>
        <v>0</v>
      </c>
      <c r="AN19">
        <f>SUM($K19:V19)</f>
        <v>0</v>
      </c>
      <c r="AO19">
        <f>SUM($K19:W19)</f>
        <v>0</v>
      </c>
      <c r="AP19">
        <f>SUM($K19:X19)</f>
        <v>0</v>
      </c>
      <c r="AQ19">
        <f>SUM($K19:Y19)</f>
        <v>0</v>
      </c>
      <c r="AR19" t="str">
        <f t="shared" si="3"/>
        <v>ОТКРЫТО</v>
      </c>
      <c r="AS19" t="str">
        <f t="shared" si="4"/>
        <v>ОТКРЫТО</v>
      </c>
      <c r="AT19" t="str">
        <f t="shared" si="5"/>
        <v>ОТКРЫТО</v>
      </c>
      <c r="AU19" t="str">
        <f t="shared" si="6"/>
        <v>ОТКРЫТО</v>
      </c>
      <c r="AV19" t="str">
        <f t="shared" si="7"/>
        <v>ОТКРЫТО</v>
      </c>
      <c r="AW19" t="str">
        <f t="shared" si="8"/>
        <v>ОТКРЫТО</v>
      </c>
      <c r="AX19" t="str">
        <f t="shared" si="9"/>
        <v>ОТКРЫТО</v>
      </c>
      <c r="AY19" t="str">
        <f t="shared" si="10"/>
        <v>ОТКРЫТО</v>
      </c>
      <c r="AZ19" t="str">
        <f t="shared" si="11"/>
        <v>ОТКРЫТО</v>
      </c>
      <c r="BA19" t="str">
        <f t="shared" si="12"/>
        <v>ОТКРЫТО</v>
      </c>
      <c r="BB19" t="str">
        <f t="shared" si="13"/>
        <v>ОТКРЫТО</v>
      </c>
      <c r="BC19" t="str">
        <f t="shared" si="14"/>
        <v>ОТКРЫТО</v>
      </c>
      <c r="BD19" t="str">
        <f t="shared" si="15"/>
        <v>ОТКРЫТО</v>
      </c>
      <c r="BE19" t="str">
        <f t="shared" si="16"/>
        <v>ОТКРЫТО</v>
      </c>
      <c r="BF19" t="str">
        <f t="shared" si="17"/>
        <v>ОТКРЫТО</v>
      </c>
      <c r="BG19" t="str">
        <f t="shared" si="18"/>
        <v/>
      </c>
      <c r="BH19" t="str">
        <f t="shared" si="19"/>
        <v/>
      </c>
    </row>
    <row r="20" spans="1:60" ht="199.5">
      <c r="A20" s="3" t="s">
        <v>109</v>
      </c>
      <c r="B20" s="3" t="s">
        <v>97</v>
      </c>
      <c r="C20" s="3" t="s">
        <v>82</v>
      </c>
      <c r="D20" s="3" t="s">
        <v>110</v>
      </c>
      <c r="E20" s="3">
        <v>65</v>
      </c>
      <c r="F20" s="3" t="s">
        <v>101</v>
      </c>
      <c r="G20" s="3" t="s">
        <v>105</v>
      </c>
      <c r="H20" s="3"/>
      <c r="I20" s="3" t="s">
        <v>111</v>
      </c>
      <c r="J20" s="3" t="s">
        <v>112</v>
      </c>
      <c r="K20" s="4">
        <f>SUMIF('Ход 2026'!$G$29:$G$38,$A20,'Ход 2026'!$I$29:$I$38)*(1+'Эффекты технологий'!J$7+'Эффекты технологий'!J$8+'Эффекты технологий'!J$9)</f>
        <v>0</v>
      </c>
      <c r="L20" s="4">
        <f>SUMIF('Ход 2027'!$G$29:$G$38,$A20,'Ход 2027'!$I$29:$I$38)*(1+'Эффекты технологий'!K$7+'Эффекты технологий'!K$8+'Эффекты технологий'!K$9)</f>
        <v>0</v>
      </c>
      <c r="M20" s="4">
        <f>SUMIF('Ход 2028'!$G$29:$G$38,$A20,'Ход 2028'!$I$29:$I$38)*(1+'Эффекты технологий'!L$7+'Эффекты технологий'!L$8+'Эффекты технологий'!L$9)</f>
        <v>0</v>
      </c>
      <c r="N20" s="4">
        <f>SUMIF('Ход 2029'!$G$29:$G$38,$A20,'Ход 2029'!$I$29:$I$38)*(1+'Эффекты технологий'!M$7+'Эффекты технологий'!M$8+'Эффекты технологий'!M$9)</f>
        <v>0</v>
      </c>
      <c r="O20" s="4">
        <f>SUMIF('Ход 2030'!$G$29:$G$38,$A20,'Ход 2030'!$I$29:$I$38)*(1+'Эффекты технологий'!N$7+'Эффекты технологий'!N$8+'Эффекты технологий'!N$9)</f>
        <v>0</v>
      </c>
      <c r="P20" s="4">
        <f>SUMIF('Ход 2031'!$G$29:$G$38,$A20,'Ход 2031'!$I$29:$I$38)*(1+'Эффекты технологий'!O$7+'Эффекты технологий'!O$8+'Эффекты технологий'!O$9)</f>
        <v>0</v>
      </c>
      <c r="Q20" s="4">
        <f>SUMIF('Ход 2032'!$G$29:$G$38,$A20,'Ход 2032'!$I$29:$I$38)*(1+'Эффекты технологий'!P$7+'Эффекты технологий'!P$8+'Эффекты технологий'!P$9)</f>
        <v>0</v>
      </c>
      <c r="R20" s="4">
        <f>SUMIF('Ход 2033'!$G$29:$G$38,$A20,'Ход 2033'!$I$29:$I$38)*(1+'Эффекты технологий'!Q$7+'Эффекты технологий'!Q$8+'Эффекты технологий'!Q$9)</f>
        <v>0</v>
      </c>
      <c r="S20" s="4">
        <f>SUMIF('Ход 2034'!$G$29:$G$38,$A20,'Ход 2034'!$I$29:$I$38)*(1+'Эффекты технологий'!R$7+'Эффекты технологий'!R$8+'Эффекты технологий'!R$9)</f>
        <v>0</v>
      </c>
      <c r="T20" s="4">
        <f>SUMIF('Ход 2035'!$G$29:$G$38,$A20,'Ход 2035'!$I$29:$I$38)*(1+'Эффекты технологий'!S$7+'Эффекты технологий'!S$8+'Эффекты технологий'!S$9)</f>
        <v>0</v>
      </c>
      <c r="U20" s="4">
        <f>SUMIF('Ход 2036'!$G$29:$G$38,$A20,'Ход 2036'!$I$29:$I$38)*(1+'Эффекты технологий'!T$7+'Эффекты технологий'!T$8+'Эффекты технологий'!T$9)</f>
        <v>0</v>
      </c>
      <c r="V20" s="4">
        <f>SUMIF('Ход 2037'!$G$29:$G$38,$A20,'Ход 2037'!$I$29:$I$38)*(1+'Эффекты технологий'!U$7+'Эффекты технологий'!U$8+'Эффекты технологий'!U$9)</f>
        <v>0</v>
      </c>
      <c r="W20" s="4">
        <f>SUMIF('Ход 2038'!$G$29:$G$38,$A20,'Ход 2038'!$I$29:$I$38)*(1+'Эффекты технологий'!V$7+'Эффекты технологий'!V$8+'Эффекты технологий'!V$9)</f>
        <v>0</v>
      </c>
      <c r="X20" s="4">
        <f>SUMIF('Ход 2039'!$G$29:$G$38,$A20,'Ход 2039'!$I$29:$I$38)*(1+'Эффекты технологий'!W$7+'Эффекты технологий'!W$8+'Эффекты технологий'!W$9)</f>
        <v>0</v>
      </c>
      <c r="Y20" s="4">
        <f>SUMIF('Ход 2040'!$G$29:$G$38,$A20,'Ход 2040'!$I$29:$I$38)*(1+'Эффекты технологий'!X$7+'Эффекты технологий'!X$8+'Эффекты технологий'!X$9)</f>
        <v>0</v>
      </c>
      <c r="Z20" s="5">
        <f t="shared" si="0"/>
        <v>0</v>
      </c>
      <c r="AA20" s="5">
        <f t="shared" si="1"/>
        <v>65</v>
      </c>
      <c r="AB20" s="3" t="str">
        <f t="shared" si="2"/>
        <v>ОТКРЫТО</v>
      </c>
      <c r="AC20">
        <f>SUM($K20:K20)</f>
        <v>0</v>
      </c>
      <c r="AD20">
        <f>SUM($K20:L20)</f>
        <v>0</v>
      </c>
      <c r="AE20">
        <f>SUM($K20:M20)</f>
        <v>0</v>
      </c>
      <c r="AF20">
        <f>SUM($K20:N20)</f>
        <v>0</v>
      </c>
      <c r="AG20">
        <f>SUM($K20:O20)</f>
        <v>0</v>
      </c>
      <c r="AH20">
        <f>SUM($K20:P20)</f>
        <v>0</v>
      </c>
      <c r="AI20">
        <f>SUM($K20:Q20)</f>
        <v>0</v>
      </c>
      <c r="AJ20">
        <f>SUM($K20:R20)</f>
        <v>0</v>
      </c>
      <c r="AK20">
        <f>SUM($K20:S20)</f>
        <v>0</v>
      </c>
      <c r="AL20">
        <f>SUM($K20:T20)</f>
        <v>0</v>
      </c>
      <c r="AM20">
        <f>SUM($K20:U20)</f>
        <v>0</v>
      </c>
      <c r="AN20">
        <f>SUM($K20:V20)</f>
        <v>0</v>
      </c>
      <c r="AO20">
        <f>SUM($K20:W20)</f>
        <v>0</v>
      </c>
      <c r="AP20">
        <f>SUM($K20:X20)</f>
        <v>0</v>
      </c>
      <c r="AQ20">
        <f>SUM($K20:Y20)</f>
        <v>0</v>
      </c>
      <c r="AR20" t="str">
        <f t="shared" si="3"/>
        <v>ОТКРЫТО</v>
      </c>
      <c r="AS20" t="str">
        <f t="shared" si="4"/>
        <v>ОТКРЫТО</v>
      </c>
      <c r="AT20" t="str">
        <f t="shared" si="5"/>
        <v>ОТКРЫТО</v>
      </c>
      <c r="AU20" t="str">
        <f t="shared" si="6"/>
        <v>ОТКРЫТО</v>
      </c>
      <c r="AV20" t="str">
        <f t="shared" si="7"/>
        <v>ОТКРЫТО</v>
      </c>
      <c r="AW20" t="str">
        <f t="shared" si="8"/>
        <v>ОТКРЫТО</v>
      </c>
      <c r="AX20" t="str">
        <f t="shared" si="9"/>
        <v>ОТКРЫТО</v>
      </c>
      <c r="AY20" t="str">
        <f t="shared" si="10"/>
        <v>ОТКРЫТО</v>
      </c>
      <c r="AZ20" t="str">
        <f t="shared" si="11"/>
        <v>ОТКРЫТО</v>
      </c>
      <c r="BA20" t="str">
        <f t="shared" si="12"/>
        <v>ОТКРЫТО</v>
      </c>
      <c r="BB20" t="str">
        <f t="shared" si="13"/>
        <v>ОТКРЫТО</v>
      </c>
      <c r="BC20" t="str">
        <f t="shared" si="14"/>
        <v>ОТКРЫТО</v>
      </c>
      <c r="BD20" t="str">
        <f t="shared" si="15"/>
        <v>ОТКРЫТО</v>
      </c>
      <c r="BE20" t="str">
        <f t="shared" si="16"/>
        <v>ОТКРЫТО</v>
      </c>
      <c r="BF20" t="str">
        <f t="shared" si="17"/>
        <v>ОТКРЫТО</v>
      </c>
      <c r="BG20" t="str">
        <f t="shared" si="18"/>
        <v/>
      </c>
      <c r="BH20" t="str">
        <f t="shared" si="19"/>
        <v/>
      </c>
    </row>
    <row r="21" spans="1:60" ht="185.25">
      <c r="A21" s="3" t="s">
        <v>113</v>
      </c>
      <c r="B21" s="3" t="s">
        <v>97</v>
      </c>
      <c r="C21" s="3" t="s">
        <v>87</v>
      </c>
      <c r="D21" s="3" t="s">
        <v>114</v>
      </c>
      <c r="E21" s="3">
        <v>100</v>
      </c>
      <c r="F21" s="3" t="s">
        <v>109</v>
      </c>
      <c r="G21" s="3"/>
      <c r="H21" s="3"/>
      <c r="I21" s="3" t="s">
        <v>115</v>
      </c>
      <c r="J21" s="3" t="s">
        <v>116</v>
      </c>
      <c r="K21" s="4">
        <f>SUMIF('Ход 2026'!$G$29:$G$38,$A21,'Ход 2026'!$I$29:$I$38)*(1+'Эффекты технологий'!J$7+'Эффекты технологий'!J$8+'Эффекты технологий'!J$9)</f>
        <v>0</v>
      </c>
      <c r="L21" s="4">
        <f>SUMIF('Ход 2027'!$G$29:$G$38,$A21,'Ход 2027'!$I$29:$I$38)*(1+'Эффекты технологий'!K$7+'Эффекты технологий'!K$8+'Эффекты технологий'!K$9)</f>
        <v>0</v>
      </c>
      <c r="M21" s="4">
        <f>SUMIF('Ход 2028'!$G$29:$G$38,$A21,'Ход 2028'!$I$29:$I$38)*(1+'Эффекты технологий'!L$7+'Эффекты технологий'!L$8+'Эффекты технологий'!L$9)</f>
        <v>0</v>
      </c>
      <c r="N21" s="4">
        <f>SUMIF('Ход 2029'!$G$29:$G$38,$A21,'Ход 2029'!$I$29:$I$38)*(1+'Эффекты технологий'!M$7+'Эффекты технологий'!M$8+'Эффекты технологий'!M$9)</f>
        <v>0</v>
      </c>
      <c r="O21" s="4">
        <f>SUMIF('Ход 2030'!$G$29:$G$38,$A21,'Ход 2030'!$I$29:$I$38)*(1+'Эффекты технологий'!N$7+'Эффекты технологий'!N$8+'Эффекты технологий'!N$9)</f>
        <v>0</v>
      </c>
      <c r="P21" s="4">
        <f>SUMIF('Ход 2031'!$G$29:$G$38,$A21,'Ход 2031'!$I$29:$I$38)*(1+'Эффекты технологий'!O$7+'Эффекты технологий'!O$8+'Эффекты технологий'!O$9)</f>
        <v>0</v>
      </c>
      <c r="Q21" s="4">
        <f>SUMIF('Ход 2032'!$G$29:$G$38,$A21,'Ход 2032'!$I$29:$I$38)*(1+'Эффекты технологий'!P$7+'Эффекты технологий'!P$8+'Эффекты технологий'!P$9)</f>
        <v>0</v>
      </c>
      <c r="R21" s="4">
        <f>SUMIF('Ход 2033'!$G$29:$G$38,$A21,'Ход 2033'!$I$29:$I$38)*(1+'Эффекты технологий'!Q$7+'Эффекты технологий'!Q$8+'Эффекты технологий'!Q$9)</f>
        <v>0</v>
      </c>
      <c r="S21" s="4">
        <f>SUMIF('Ход 2034'!$G$29:$G$38,$A21,'Ход 2034'!$I$29:$I$38)*(1+'Эффекты технологий'!R$7+'Эффекты технологий'!R$8+'Эффекты технологий'!R$9)</f>
        <v>0</v>
      </c>
      <c r="T21" s="4">
        <f>SUMIF('Ход 2035'!$G$29:$G$38,$A21,'Ход 2035'!$I$29:$I$38)*(1+'Эффекты технологий'!S$7+'Эффекты технологий'!S$8+'Эффекты технологий'!S$9)</f>
        <v>0</v>
      </c>
      <c r="U21" s="4">
        <f>SUMIF('Ход 2036'!$G$29:$G$38,$A21,'Ход 2036'!$I$29:$I$38)*(1+'Эффекты технологий'!T$7+'Эффекты технологий'!T$8+'Эффекты технологий'!T$9)</f>
        <v>0</v>
      </c>
      <c r="V21" s="4">
        <f>SUMIF('Ход 2037'!$G$29:$G$38,$A21,'Ход 2037'!$I$29:$I$38)*(1+'Эффекты технологий'!U$7+'Эффекты технологий'!U$8+'Эффекты технологий'!U$9)</f>
        <v>0</v>
      </c>
      <c r="W21" s="4">
        <f>SUMIF('Ход 2038'!$G$29:$G$38,$A21,'Ход 2038'!$I$29:$I$38)*(1+'Эффекты технологий'!V$7+'Эффекты технологий'!V$8+'Эффекты технологий'!V$9)</f>
        <v>0</v>
      </c>
      <c r="X21" s="4">
        <f>SUMIF('Ход 2039'!$G$29:$G$38,$A21,'Ход 2039'!$I$29:$I$38)*(1+'Эффекты технологий'!W$7+'Эффекты технологий'!W$8+'Эффекты технологий'!W$9)</f>
        <v>0</v>
      </c>
      <c r="Y21" s="4">
        <f>SUMIF('Ход 2040'!$G$29:$G$38,$A21,'Ход 2040'!$I$29:$I$38)*(1+'Эффекты технологий'!X$7+'Эффекты технологий'!X$8+'Эффекты технологий'!X$9)</f>
        <v>0</v>
      </c>
      <c r="Z21" s="5">
        <f t="shared" si="0"/>
        <v>0</v>
      </c>
      <c r="AA21" s="5">
        <f t="shared" si="1"/>
        <v>100</v>
      </c>
      <c r="AB21" s="3" t="str">
        <f t="shared" si="2"/>
        <v>ОТКРЫТО</v>
      </c>
      <c r="AC21">
        <f>SUM($K21:K21)</f>
        <v>0</v>
      </c>
      <c r="AD21">
        <f>SUM($K21:L21)</f>
        <v>0</v>
      </c>
      <c r="AE21">
        <f>SUM($K21:M21)</f>
        <v>0</v>
      </c>
      <c r="AF21">
        <f>SUM($K21:N21)</f>
        <v>0</v>
      </c>
      <c r="AG21">
        <f>SUM($K21:O21)</f>
        <v>0</v>
      </c>
      <c r="AH21">
        <f>SUM($K21:P21)</f>
        <v>0</v>
      </c>
      <c r="AI21">
        <f>SUM($K21:Q21)</f>
        <v>0</v>
      </c>
      <c r="AJ21">
        <f>SUM($K21:R21)</f>
        <v>0</v>
      </c>
      <c r="AK21">
        <f>SUM($K21:S21)</f>
        <v>0</v>
      </c>
      <c r="AL21">
        <f>SUM($K21:T21)</f>
        <v>0</v>
      </c>
      <c r="AM21">
        <f>SUM($K21:U21)</f>
        <v>0</v>
      </c>
      <c r="AN21">
        <f>SUM($K21:V21)</f>
        <v>0</v>
      </c>
      <c r="AO21">
        <f>SUM($K21:W21)</f>
        <v>0</v>
      </c>
      <c r="AP21">
        <f>SUM($K21:X21)</f>
        <v>0</v>
      </c>
      <c r="AQ21">
        <f>SUM($K21:Y21)</f>
        <v>0</v>
      </c>
      <c r="AR21" t="str">
        <f t="shared" si="3"/>
        <v>ОТКРЫТО</v>
      </c>
      <c r="AS21" t="str">
        <f t="shared" si="4"/>
        <v>ОТКРЫТО</v>
      </c>
      <c r="AT21" t="str">
        <f t="shared" si="5"/>
        <v>ОТКРЫТО</v>
      </c>
      <c r="AU21" t="str">
        <f t="shared" si="6"/>
        <v>ОТКРЫТО</v>
      </c>
      <c r="AV21" t="str">
        <f t="shared" si="7"/>
        <v>ОТКРЫТО</v>
      </c>
      <c r="AW21" t="str">
        <f t="shared" si="8"/>
        <v>ОТКРЫТО</v>
      </c>
      <c r="AX21" t="str">
        <f t="shared" si="9"/>
        <v>ОТКРЫТО</v>
      </c>
      <c r="AY21" t="str">
        <f t="shared" si="10"/>
        <v>ОТКРЫТО</v>
      </c>
      <c r="AZ21" t="str">
        <f t="shared" si="11"/>
        <v>ОТКРЫТО</v>
      </c>
      <c r="BA21" t="str">
        <f t="shared" si="12"/>
        <v>ОТКРЫТО</v>
      </c>
      <c r="BB21" t="str">
        <f t="shared" si="13"/>
        <v>ОТКРЫТО</v>
      </c>
      <c r="BC21" t="str">
        <f t="shared" si="14"/>
        <v>ОТКРЫТО</v>
      </c>
      <c r="BD21" t="str">
        <f t="shared" si="15"/>
        <v>ОТКРЫТО</v>
      </c>
      <c r="BE21" t="str">
        <f t="shared" si="16"/>
        <v>ОТКРЫТО</v>
      </c>
      <c r="BF21" t="str">
        <f t="shared" si="17"/>
        <v>ОТКРЫТО</v>
      </c>
      <c r="BG21" t="str">
        <f t="shared" si="18"/>
        <v/>
      </c>
      <c r="BH21" t="str">
        <f t="shared" si="19"/>
        <v/>
      </c>
    </row>
    <row r="22" spans="1:60" ht="185.25">
      <c r="A22" s="3" t="s">
        <v>117</v>
      </c>
      <c r="B22" s="3" t="s">
        <v>97</v>
      </c>
      <c r="C22" s="3" t="s">
        <v>92</v>
      </c>
      <c r="D22" s="3" t="s">
        <v>118</v>
      </c>
      <c r="E22" s="3">
        <v>155</v>
      </c>
      <c r="F22" s="3" t="s">
        <v>113</v>
      </c>
      <c r="G22" s="3"/>
      <c r="H22" s="3"/>
      <c r="I22" s="3" t="s">
        <v>119</v>
      </c>
      <c r="J22" s="3" t="s">
        <v>120</v>
      </c>
      <c r="K22" s="4">
        <f>SUMIF('Ход 2026'!$G$29:$G$38,$A22,'Ход 2026'!$I$29:$I$38)*(1+'Эффекты технологий'!J$7+'Эффекты технологий'!J$8+'Эффекты технологий'!J$9)</f>
        <v>0</v>
      </c>
      <c r="L22" s="4">
        <f>SUMIF('Ход 2027'!$G$29:$G$38,$A22,'Ход 2027'!$I$29:$I$38)*(1+'Эффекты технологий'!K$7+'Эффекты технологий'!K$8+'Эффекты технологий'!K$9)</f>
        <v>0</v>
      </c>
      <c r="M22" s="4">
        <f>SUMIF('Ход 2028'!$G$29:$G$38,$A22,'Ход 2028'!$I$29:$I$38)*(1+'Эффекты технологий'!L$7+'Эффекты технологий'!L$8+'Эффекты технологий'!L$9)</f>
        <v>0</v>
      </c>
      <c r="N22" s="4">
        <f>SUMIF('Ход 2029'!$G$29:$G$38,$A22,'Ход 2029'!$I$29:$I$38)*(1+'Эффекты технологий'!M$7+'Эффекты технологий'!M$8+'Эффекты технологий'!M$9)</f>
        <v>0</v>
      </c>
      <c r="O22" s="4">
        <f>SUMIF('Ход 2030'!$G$29:$G$38,$A22,'Ход 2030'!$I$29:$I$38)*(1+'Эффекты технологий'!N$7+'Эффекты технологий'!N$8+'Эффекты технологий'!N$9)</f>
        <v>0</v>
      </c>
      <c r="P22" s="4">
        <f>SUMIF('Ход 2031'!$G$29:$G$38,$A22,'Ход 2031'!$I$29:$I$38)*(1+'Эффекты технологий'!O$7+'Эффекты технологий'!O$8+'Эффекты технологий'!O$9)</f>
        <v>0</v>
      </c>
      <c r="Q22" s="4">
        <f>SUMIF('Ход 2032'!$G$29:$G$38,$A22,'Ход 2032'!$I$29:$I$38)*(1+'Эффекты технологий'!P$7+'Эффекты технологий'!P$8+'Эффекты технологий'!P$9)</f>
        <v>0</v>
      </c>
      <c r="R22" s="4">
        <f>SUMIF('Ход 2033'!$G$29:$G$38,$A22,'Ход 2033'!$I$29:$I$38)*(1+'Эффекты технологий'!Q$7+'Эффекты технологий'!Q$8+'Эффекты технологий'!Q$9)</f>
        <v>0</v>
      </c>
      <c r="S22" s="4">
        <f>SUMIF('Ход 2034'!$G$29:$G$38,$A22,'Ход 2034'!$I$29:$I$38)*(1+'Эффекты технологий'!R$7+'Эффекты технологий'!R$8+'Эффекты технологий'!R$9)</f>
        <v>0</v>
      </c>
      <c r="T22" s="4">
        <f>SUMIF('Ход 2035'!$G$29:$G$38,$A22,'Ход 2035'!$I$29:$I$38)*(1+'Эффекты технологий'!S$7+'Эффекты технологий'!S$8+'Эффекты технологий'!S$9)</f>
        <v>0</v>
      </c>
      <c r="U22" s="4">
        <f>SUMIF('Ход 2036'!$G$29:$G$38,$A22,'Ход 2036'!$I$29:$I$38)*(1+'Эффекты технологий'!T$7+'Эффекты технологий'!T$8+'Эффекты технологий'!T$9)</f>
        <v>0</v>
      </c>
      <c r="V22" s="4">
        <f>SUMIF('Ход 2037'!$G$29:$G$38,$A22,'Ход 2037'!$I$29:$I$38)*(1+'Эффекты технологий'!U$7+'Эффекты технологий'!U$8+'Эффекты технологий'!U$9)</f>
        <v>0</v>
      </c>
      <c r="W22" s="4">
        <f>SUMIF('Ход 2038'!$G$29:$G$38,$A22,'Ход 2038'!$I$29:$I$38)*(1+'Эффекты технологий'!V$7+'Эффекты технологий'!V$8+'Эффекты технологий'!V$9)</f>
        <v>0</v>
      </c>
      <c r="X22" s="4">
        <f>SUMIF('Ход 2039'!$G$29:$G$38,$A22,'Ход 2039'!$I$29:$I$38)*(1+'Эффекты технологий'!W$7+'Эффекты технологий'!W$8+'Эффекты технологий'!W$9)</f>
        <v>0</v>
      </c>
      <c r="Y22" s="4">
        <f>SUMIF('Ход 2040'!$G$29:$G$38,$A22,'Ход 2040'!$I$29:$I$38)*(1+'Эффекты технологий'!X$7+'Эффекты технологий'!X$8+'Эффекты технологий'!X$9)</f>
        <v>0</v>
      </c>
      <c r="Z22" s="5">
        <f t="shared" si="0"/>
        <v>0</v>
      </c>
      <c r="AA22" s="5">
        <f t="shared" si="1"/>
        <v>155</v>
      </c>
      <c r="AB22" s="3" t="str">
        <f t="shared" si="2"/>
        <v>ОТКРЫТО</v>
      </c>
      <c r="AC22">
        <f>SUM($K22:K22)</f>
        <v>0</v>
      </c>
      <c r="AD22">
        <f>SUM($K22:L22)</f>
        <v>0</v>
      </c>
      <c r="AE22">
        <f>SUM($K22:M22)</f>
        <v>0</v>
      </c>
      <c r="AF22">
        <f>SUM($K22:N22)</f>
        <v>0</v>
      </c>
      <c r="AG22">
        <f>SUM($K22:O22)</f>
        <v>0</v>
      </c>
      <c r="AH22">
        <f>SUM($K22:P22)</f>
        <v>0</v>
      </c>
      <c r="AI22">
        <f>SUM($K22:Q22)</f>
        <v>0</v>
      </c>
      <c r="AJ22">
        <f>SUM($K22:R22)</f>
        <v>0</v>
      </c>
      <c r="AK22">
        <f>SUM($K22:S22)</f>
        <v>0</v>
      </c>
      <c r="AL22">
        <f>SUM($K22:T22)</f>
        <v>0</v>
      </c>
      <c r="AM22">
        <f>SUM($K22:U22)</f>
        <v>0</v>
      </c>
      <c r="AN22">
        <f>SUM($K22:V22)</f>
        <v>0</v>
      </c>
      <c r="AO22">
        <f>SUM($K22:W22)</f>
        <v>0</v>
      </c>
      <c r="AP22">
        <f>SUM($K22:X22)</f>
        <v>0</v>
      </c>
      <c r="AQ22">
        <f>SUM($K22:Y22)</f>
        <v>0</v>
      </c>
      <c r="AR22" t="str">
        <f t="shared" si="3"/>
        <v>ОТКРЫТО</v>
      </c>
      <c r="AS22" t="str">
        <f t="shared" si="4"/>
        <v>ОТКРЫТО</v>
      </c>
      <c r="AT22" t="str">
        <f t="shared" si="5"/>
        <v>ОТКРЫТО</v>
      </c>
      <c r="AU22" t="str">
        <f t="shared" si="6"/>
        <v>ОТКРЫТО</v>
      </c>
      <c r="AV22" t="str">
        <f t="shared" si="7"/>
        <v>ОТКРЫТО</v>
      </c>
      <c r="AW22" t="str">
        <f t="shared" si="8"/>
        <v>ОТКРЫТО</v>
      </c>
      <c r="AX22" t="str">
        <f t="shared" si="9"/>
        <v>ОТКРЫТО</v>
      </c>
      <c r="AY22" t="str">
        <f t="shared" si="10"/>
        <v>ОТКРЫТО</v>
      </c>
      <c r="AZ22" t="str">
        <f t="shared" si="11"/>
        <v>ОТКРЫТО</v>
      </c>
      <c r="BA22" t="str">
        <f t="shared" si="12"/>
        <v>ОТКРЫТО</v>
      </c>
      <c r="BB22" t="str">
        <f t="shared" si="13"/>
        <v>ОТКРЫТО</v>
      </c>
      <c r="BC22" t="str">
        <f t="shared" si="14"/>
        <v>ОТКРЫТО</v>
      </c>
      <c r="BD22" t="str">
        <f t="shared" si="15"/>
        <v>ОТКРЫТО</v>
      </c>
      <c r="BE22" t="str">
        <f t="shared" si="16"/>
        <v>ОТКРЫТО</v>
      </c>
      <c r="BF22" t="str">
        <f t="shared" si="17"/>
        <v>ОТКРЫТО</v>
      </c>
      <c r="BG22" t="str">
        <f t="shared" si="18"/>
        <v/>
      </c>
      <c r="BH22" t="str">
        <f t="shared" si="19"/>
        <v/>
      </c>
    </row>
    <row r="23" spans="1:60" ht="199.5">
      <c r="A23" s="3" t="s">
        <v>121</v>
      </c>
      <c r="B23" s="3" t="s">
        <v>122</v>
      </c>
      <c r="C23" s="3" t="s">
        <v>68</v>
      </c>
      <c r="D23" s="3" t="s">
        <v>123</v>
      </c>
      <c r="E23" s="3">
        <v>20</v>
      </c>
      <c r="F23" s="3"/>
      <c r="G23" s="3"/>
      <c r="H23" s="3"/>
      <c r="I23" s="3" t="s">
        <v>124</v>
      </c>
      <c r="J23" s="3" t="s">
        <v>125</v>
      </c>
      <c r="K23" s="4">
        <f>SUMIF('Ход 2026'!$G$29:$G$38,$A23,'Ход 2026'!$I$29:$I$38)*(1+'Эффекты технологий'!J$7)</f>
        <v>0</v>
      </c>
      <c r="L23" s="4">
        <f>SUMIF('Ход 2027'!$G$29:$G$38,$A23,'Ход 2027'!$I$29:$I$38)*(1+'Эффекты технологий'!K$7)</f>
        <v>0</v>
      </c>
      <c r="M23" s="4">
        <f>SUMIF('Ход 2028'!$G$29:$G$38,$A23,'Ход 2028'!$I$29:$I$38)*(1+'Эффекты технологий'!L$7)</f>
        <v>0</v>
      </c>
      <c r="N23" s="4">
        <f>SUMIF('Ход 2029'!$G$29:$G$38,$A23,'Ход 2029'!$I$29:$I$38)*(1+'Эффекты технологий'!M$7)</f>
        <v>0</v>
      </c>
      <c r="O23" s="4">
        <f>SUMIF('Ход 2030'!$G$29:$G$38,$A23,'Ход 2030'!$I$29:$I$38)*(1+'Эффекты технологий'!N$7)</f>
        <v>0</v>
      </c>
      <c r="P23" s="4">
        <f>SUMIF('Ход 2031'!$G$29:$G$38,$A23,'Ход 2031'!$I$29:$I$38)*(1+'Эффекты технологий'!O$7)</f>
        <v>0</v>
      </c>
      <c r="Q23" s="4">
        <f>SUMIF('Ход 2032'!$G$29:$G$38,$A23,'Ход 2032'!$I$29:$I$38)*(1+'Эффекты технологий'!P$7)</f>
        <v>0</v>
      </c>
      <c r="R23" s="4">
        <f>SUMIF('Ход 2033'!$G$29:$G$38,$A23,'Ход 2033'!$I$29:$I$38)*(1+'Эффекты технологий'!Q$7)</f>
        <v>0</v>
      </c>
      <c r="S23" s="4">
        <f>SUMIF('Ход 2034'!$G$29:$G$38,$A23,'Ход 2034'!$I$29:$I$38)*(1+'Эффекты технологий'!R$7)</f>
        <v>0</v>
      </c>
      <c r="T23" s="4">
        <f>SUMIF('Ход 2035'!$G$29:$G$38,$A23,'Ход 2035'!$I$29:$I$38)*(1+'Эффекты технологий'!S$7)</f>
        <v>0</v>
      </c>
      <c r="U23" s="4">
        <f>SUMIF('Ход 2036'!$G$29:$G$38,$A23,'Ход 2036'!$I$29:$I$38)*(1+'Эффекты технологий'!T$7)</f>
        <v>0</v>
      </c>
      <c r="V23" s="4">
        <f>SUMIF('Ход 2037'!$G$29:$G$38,$A23,'Ход 2037'!$I$29:$I$38)*(1+'Эффекты технологий'!U$7)</f>
        <v>0</v>
      </c>
      <c r="W23" s="4">
        <f>SUMIF('Ход 2038'!$G$29:$G$38,$A23,'Ход 2038'!$I$29:$I$38)*(1+'Эффекты технологий'!V$7)</f>
        <v>0</v>
      </c>
      <c r="X23" s="4">
        <f>SUMIF('Ход 2039'!$G$29:$G$38,$A23,'Ход 2039'!$I$29:$I$38)*(1+'Эффекты технологий'!W$7)</f>
        <v>0</v>
      </c>
      <c r="Y23" s="4">
        <f>SUMIF('Ход 2040'!$G$29:$G$38,$A23,'Ход 2040'!$I$29:$I$38)*(1+'Эффекты технологий'!X$7)</f>
        <v>0</v>
      </c>
      <c r="Z23" s="5">
        <f t="shared" si="0"/>
        <v>0</v>
      </c>
      <c r="AA23" s="5">
        <f t="shared" si="1"/>
        <v>20</v>
      </c>
      <c r="AB23" s="3" t="str">
        <f t="shared" si="2"/>
        <v>ОТКРЫТО</v>
      </c>
      <c r="AC23">
        <f>SUM($K23:K23)</f>
        <v>0</v>
      </c>
      <c r="AD23">
        <f>SUM($K23:L23)</f>
        <v>0</v>
      </c>
      <c r="AE23">
        <f>SUM($K23:M23)</f>
        <v>0</v>
      </c>
      <c r="AF23">
        <f>SUM($K23:N23)</f>
        <v>0</v>
      </c>
      <c r="AG23">
        <f>SUM($K23:O23)</f>
        <v>0</v>
      </c>
      <c r="AH23">
        <f>SUM($K23:P23)</f>
        <v>0</v>
      </c>
      <c r="AI23">
        <f>SUM($K23:Q23)</f>
        <v>0</v>
      </c>
      <c r="AJ23">
        <f>SUM($K23:R23)</f>
        <v>0</v>
      </c>
      <c r="AK23">
        <f>SUM($K23:S23)</f>
        <v>0</v>
      </c>
      <c r="AL23">
        <f>SUM($K23:T23)</f>
        <v>0</v>
      </c>
      <c r="AM23">
        <f>SUM($K23:U23)</f>
        <v>0</v>
      </c>
      <c r="AN23">
        <f>SUM($K23:V23)</f>
        <v>0</v>
      </c>
      <c r="AO23">
        <f>SUM($K23:W23)</f>
        <v>0</v>
      </c>
      <c r="AP23">
        <f>SUM($K23:X23)</f>
        <v>0</v>
      </c>
      <c r="AQ23">
        <f>SUM($K23:Y23)</f>
        <v>0</v>
      </c>
      <c r="AR23" t="str">
        <f t="shared" si="3"/>
        <v>ОТКРЫТО</v>
      </c>
      <c r="AS23" t="str">
        <f t="shared" si="4"/>
        <v>ОТКРЫТО</v>
      </c>
      <c r="AT23" t="str">
        <f t="shared" si="5"/>
        <v>ОТКРЫТО</v>
      </c>
      <c r="AU23" t="str">
        <f t="shared" si="6"/>
        <v>ОТКРЫТО</v>
      </c>
      <c r="AV23" t="str">
        <f t="shared" si="7"/>
        <v>ОТКРЫТО</v>
      </c>
      <c r="AW23" t="str">
        <f t="shared" si="8"/>
        <v>ОТКРЫТО</v>
      </c>
      <c r="AX23" t="str">
        <f t="shared" si="9"/>
        <v>ОТКРЫТО</v>
      </c>
      <c r="AY23" t="str">
        <f t="shared" si="10"/>
        <v>ОТКРЫТО</v>
      </c>
      <c r="AZ23" t="str">
        <f t="shared" si="11"/>
        <v>ОТКРЫТО</v>
      </c>
      <c r="BA23" t="str">
        <f t="shared" si="12"/>
        <v>ОТКРЫТО</v>
      </c>
      <c r="BB23" t="str">
        <f t="shared" si="13"/>
        <v>ОТКРЫТО</v>
      </c>
      <c r="BC23" t="str">
        <f t="shared" si="14"/>
        <v>ОТКРЫТО</v>
      </c>
      <c r="BD23" t="str">
        <f t="shared" si="15"/>
        <v>ОТКРЫТО</v>
      </c>
      <c r="BE23" t="str">
        <f t="shared" si="16"/>
        <v>ОТКРЫТО</v>
      </c>
      <c r="BF23" t="str">
        <f t="shared" si="17"/>
        <v>ОТКРЫТО</v>
      </c>
      <c r="BG23" t="str">
        <f t="shared" si="18"/>
        <v/>
      </c>
      <c r="BH23" t="str">
        <f t="shared" si="19"/>
        <v/>
      </c>
    </row>
    <row r="24" spans="1:60" ht="171">
      <c r="A24" s="3" t="s">
        <v>126</v>
      </c>
      <c r="B24" s="3" t="s">
        <v>122</v>
      </c>
      <c r="C24" s="3" t="s">
        <v>73</v>
      </c>
      <c r="D24" s="3" t="s">
        <v>127</v>
      </c>
      <c r="E24" s="3">
        <v>35</v>
      </c>
      <c r="F24" s="3" t="s">
        <v>121</v>
      </c>
      <c r="G24" s="3"/>
      <c r="H24" s="3"/>
      <c r="I24" s="3" t="s">
        <v>128</v>
      </c>
      <c r="J24" s="3" t="s">
        <v>129</v>
      </c>
      <c r="K24" s="4">
        <f>SUMIF('Ход 2026'!$G$29:$G$38,$A24,'Ход 2026'!$I$29:$I$38)*(1+'Эффекты технологий'!J$7)</f>
        <v>5</v>
      </c>
      <c r="L24" s="4">
        <f>SUMIF('Ход 2027'!$G$29:$G$38,$A24,'Ход 2027'!$I$29:$I$38)*(1+'Эффекты технологий'!K$7)</f>
        <v>0</v>
      </c>
      <c r="M24" s="4">
        <f>SUMIF('Ход 2028'!$G$29:$G$38,$A24,'Ход 2028'!$I$29:$I$38)*(1+'Эффекты технологий'!L$7)</f>
        <v>0</v>
      </c>
      <c r="N24" s="4">
        <f>SUMIF('Ход 2029'!$G$29:$G$38,$A24,'Ход 2029'!$I$29:$I$38)*(1+'Эффекты технологий'!M$7)</f>
        <v>0</v>
      </c>
      <c r="O24" s="4">
        <f>SUMIF('Ход 2030'!$G$29:$G$38,$A24,'Ход 2030'!$I$29:$I$38)*(1+'Эффекты технологий'!N$7)</f>
        <v>0</v>
      </c>
      <c r="P24" s="4">
        <f>SUMIF('Ход 2031'!$G$29:$G$38,$A24,'Ход 2031'!$I$29:$I$38)*(1+'Эффекты технологий'!O$7)</f>
        <v>0</v>
      </c>
      <c r="Q24" s="4">
        <f>SUMIF('Ход 2032'!$G$29:$G$38,$A24,'Ход 2032'!$I$29:$I$38)*(1+'Эффекты технологий'!P$7)</f>
        <v>0</v>
      </c>
      <c r="R24" s="4">
        <f>SUMIF('Ход 2033'!$G$29:$G$38,$A24,'Ход 2033'!$I$29:$I$38)*(1+'Эффекты технологий'!Q$7)</f>
        <v>0</v>
      </c>
      <c r="S24" s="4">
        <f>SUMIF('Ход 2034'!$G$29:$G$38,$A24,'Ход 2034'!$I$29:$I$38)*(1+'Эффекты технологий'!R$7)</f>
        <v>0</v>
      </c>
      <c r="T24" s="4">
        <f>SUMIF('Ход 2035'!$G$29:$G$38,$A24,'Ход 2035'!$I$29:$I$38)*(1+'Эффекты технологий'!S$7)</f>
        <v>0</v>
      </c>
      <c r="U24" s="4">
        <f>SUMIF('Ход 2036'!$G$29:$G$38,$A24,'Ход 2036'!$I$29:$I$38)*(1+'Эффекты технологий'!T$7)</f>
        <v>0</v>
      </c>
      <c r="V24" s="4">
        <f>SUMIF('Ход 2037'!$G$29:$G$38,$A24,'Ход 2037'!$I$29:$I$38)*(1+'Эффекты технологий'!U$7)</f>
        <v>0</v>
      </c>
      <c r="W24" s="4">
        <f>SUMIF('Ход 2038'!$G$29:$G$38,$A24,'Ход 2038'!$I$29:$I$38)*(1+'Эффекты технологий'!V$7)</f>
        <v>0</v>
      </c>
      <c r="X24" s="4">
        <f>SUMIF('Ход 2039'!$G$29:$G$38,$A24,'Ход 2039'!$I$29:$I$38)*(1+'Эффекты технологий'!W$7)</f>
        <v>0</v>
      </c>
      <c r="Y24" s="4">
        <f>SUMIF('Ход 2040'!$G$29:$G$38,$A24,'Ход 2040'!$I$29:$I$38)*(1+'Эффекты технологий'!X$7)</f>
        <v>0</v>
      </c>
      <c r="Z24" s="5">
        <f t="shared" si="0"/>
        <v>5</v>
      </c>
      <c r="AA24" s="5">
        <f t="shared" si="1"/>
        <v>30</v>
      </c>
      <c r="AB24" s="3" t="str">
        <f t="shared" si="2"/>
        <v>ОТКРЫТО</v>
      </c>
      <c r="AC24">
        <f>SUM($K24:K24)</f>
        <v>5</v>
      </c>
      <c r="AD24">
        <f>SUM($K24:L24)</f>
        <v>5</v>
      </c>
      <c r="AE24">
        <f>SUM($K24:M24)</f>
        <v>5</v>
      </c>
      <c r="AF24">
        <f>SUM($K24:N24)</f>
        <v>5</v>
      </c>
      <c r="AG24">
        <f>SUM($K24:O24)</f>
        <v>5</v>
      </c>
      <c r="AH24">
        <f>SUM($K24:P24)</f>
        <v>5</v>
      </c>
      <c r="AI24">
        <f>SUM($K24:Q24)</f>
        <v>5</v>
      </c>
      <c r="AJ24">
        <f>SUM($K24:R24)</f>
        <v>5</v>
      </c>
      <c r="AK24">
        <f>SUM($K24:S24)</f>
        <v>5</v>
      </c>
      <c r="AL24">
        <f>SUM($K24:T24)</f>
        <v>5</v>
      </c>
      <c r="AM24">
        <f>SUM($K24:U24)</f>
        <v>5</v>
      </c>
      <c r="AN24">
        <f>SUM($K24:V24)</f>
        <v>5</v>
      </c>
      <c r="AO24">
        <f>SUM($K24:W24)</f>
        <v>5</v>
      </c>
      <c r="AP24">
        <f>SUM($K24:X24)</f>
        <v>5</v>
      </c>
      <c r="AQ24">
        <f>SUM($K24:Y24)</f>
        <v>5</v>
      </c>
      <c r="AR24" t="str">
        <f t="shared" si="3"/>
        <v>ОТКРЫТО</v>
      </c>
      <c r="AS24" t="str">
        <f t="shared" si="4"/>
        <v>ОТКРЫТО</v>
      </c>
      <c r="AT24" t="str">
        <f t="shared" si="5"/>
        <v>ОТКРЫТО</v>
      </c>
      <c r="AU24" t="str">
        <f t="shared" si="6"/>
        <v>ОТКРЫТО</v>
      </c>
      <c r="AV24" t="str">
        <f t="shared" si="7"/>
        <v>ОТКРЫТО</v>
      </c>
      <c r="AW24" t="str">
        <f t="shared" si="8"/>
        <v>ОТКРЫТО</v>
      </c>
      <c r="AX24" t="str">
        <f t="shared" si="9"/>
        <v>ОТКРЫТО</v>
      </c>
      <c r="AY24" t="str">
        <f t="shared" si="10"/>
        <v>ОТКРЫТО</v>
      </c>
      <c r="AZ24" t="str">
        <f t="shared" si="11"/>
        <v>ОТКРЫТО</v>
      </c>
      <c r="BA24" t="str">
        <f t="shared" si="12"/>
        <v>ОТКРЫТО</v>
      </c>
      <c r="BB24" t="str">
        <f t="shared" si="13"/>
        <v>ОТКРЫТО</v>
      </c>
      <c r="BC24" t="str">
        <f t="shared" si="14"/>
        <v>ОТКРЫТО</v>
      </c>
      <c r="BD24" t="str">
        <f t="shared" si="15"/>
        <v>ОТКРЫТО</v>
      </c>
      <c r="BE24" t="str">
        <f t="shared" si="16"/>
        <v>ОТКРЫТО</v>
      </c>
      <c r="BF24" t="str">
        <f t="shared" si="17"/>
        <v>ОТКРЫТО</v>
      </c>
      <c r="BG24" t="str">
        <f t="shared" si="18"/>
        <v/>
      </c>
      <c r="BH24" t="str">
        <f t="shared" si="19"/>
        <v/>
      </c>
    </row>
    <row r="25" spans="1:60" ht="156.75">
      <c r="A25" s="3" t="s">
        <v>130</v>
      </c>
      <c r="B25" s="3" t="s">
        <v>122</v>
      </c>
      <c r="C25" s="3" t="s">
        <v>73</v>
      </c>
      <c r="D25" s="3" t="s">
        <v>131</v>
      </c>
      <c r="E25" s="3">
        <v>40</v>
      </c>
      <c r="F25" s="3" t="s">
        <v>121</v>
      </c>
      <c r="G25" s="3"/>
      <c r="H25" s="3"/>
      <c r="I25" s="3" t="s">
        <v>132</v>
      </c>
      <c r="J25" s="3" t="s">
        <v>133</v>
      </c>
      <c r="K25" s="4">
        <f>SUMIF('Ход 2026'!$G$29:$G$38,$A25,'Ход 2026'!$I$29:$I$38)*(1+'Эффекты технологий'!J$7)</f>
        <v>10</v>
      </c>
      <c r="L25" s="4">
        <f>SUMIF('Ход 2027'!$G$29:$G$38,$A25,'Ход 2027'!$I$29:$I$38)*(1+'Эффекты технологий'!K$7)</f>
        <v>0</v>
      </c>
      <c r="M25" s="4">
        <f>SUMIF('Ход 2028'!$G$29:$G$38,$A25,'Ход 2028'!$I$29:$I$38)*(1+'Эффекты технологий'!L$7)</f>
        <v>0</v>
      </c>
      <c r="N25" s="4">
        <f>SUMIF('Ход 2029'!$G$29:$G$38,$A25,'Ход 2029'!$I$29:$I$38)*(1+'Эффекты технологий'!M$7)</f>
        <v>0</v>
      </c>
      <c r="O25" s="4">
        <f>SUMIF('Ход 2030'!$G$29:$G$38,$A25,'Ход 2030'!$I$29:$I$38)*(1+'Эффекты технологий'!N$7)</f>
        <v>0</v>
      </c>
      <c r="P25" s="4">
        <f>SUMIF('Ход 2031'!$G$29:$G$38,$A25,'Ход 2031'!$I$29:$I$38)*(1+'Эффекты технологий'!O$7)</f>
        <v>0</v>
      </c>
      <c r="Q25" s="4">
        <f>SUMIF('Ход 2032'!$G$29:$G$38,$A25,'Ход 2032'!$I$29:$I$38)*(1+'Эффекты технологий'!P$7)</f>
        <v>0</v>
      </c>
      <c r="R25" s="4">
        <f>SUMIF('Ход 2033'!$G$29:$G$38,$A25,'Ход 2033'!$I$29:$I$38)*(1+'Эффекты технологий'!Q$7)</f>
        <v>0</v>
      </c>
      <c r="S25" s="4">
        <f>SUMIF('Ход 2034'!$G$29:$G$38,$A25,'Ход 2034'!$I$29:$I$38)*(1+'Эффекты технологий'!R$7)</f>
        <v>0</v>
      </c>
      <c r="T25" s="4">
        <f>SUMIF('Ход 2035'!$G$29:$G$38,$A25,'Ход 2035'!$I$29:$I$38)*(1+'Эффекты технологий'!S$7)</f>
        <v>0</v>
      </c>
      <c r="U25" s="4">
        <f>SUMIF('Ход 2036'!$G$29:$G$38,$A25,'Ход 2036'!$I$29:$I$38)*(1+'Эффекты технологий'!T$7)</f>
        <v>0</v>
      </c>
      <c r="V25" s="4">
        <f>SUMIF('Ход 2037'!$G$29:$G$38,$A25,'Ход 2037'!$I$29:$I$38)*(1+'Эффекты технологий'!U$7)</f>
        <v>0</v>
      </c>
      <c r="W25" s="4">
        <f>SUMIF('Ход 2038'!$G$29:$G$38,$A25,'Ход 2038'!$I$29:$I$38)*(1+'Эффекты технологий'!V$7)</f>
        <v>0</v>
      </c>
      <c r="X25" s="4">
        <f>SUMIF('Ход 2039'!$G$29:$G$38,$A25,'Ход 2039'!$I$29:$I$38)*(1+'Эффекты технологий'!W$7)</f>
        <v>0</v>
      </c>
      <c r="Y25" s="4">
        <f>SUMIF('Ход 2040'!$G$29:$G$38,$A25,'Ход 2040'!$I$29:$I$38)*(1+'Эффекты технологий'!X$7)</f>
        <v>0</v>
      </c>
      <c r="Z25" s="5">
        <f t="shared" si="0"/>
        <v>10</v>
      </c>
      <c r="AA25" s="5">
        <f t="shared" si="1"/>
        <v>30</v>
      </c>
      <c r="AB25" s="3" t="str">
        <f t="shared" si="2"/>
        <v>ОТКРЫТО</v>
      </c>
      <c r="AC25">
        <f>SUM($K25:K25)</f>
        <v>10</v>
      </c>
      <c r="AD25">
        <f>SUM($K25:L25)</f>
        <v>10</v>
      </c>
      <c r="AE25">
        <f>SUM($K25:M25)</f>
        <v>10</v>
      </c>
      <c r="AF25">
        <f>SUM($K25:N25)</f>
        <v>10</v>
      </c>
      <c r="AG25">
        <f>SUM($K25:O25)</f>
        <v>10</v>
      </c>
      <c r="AH25">
        <f>SUM($K25:P25)</f>
        <v>10</v>
      </c>
      <c r="AI25">
        <f>SUM($K25:Q25)</f>
        <v>10</v>
      </c>
      <c r="AJ25">
        <f>SUM($K25:R25)</f>
        <v>10</v>
      </c>
      <c r="AK25">
        <f>SUM($K25:S25)</f>
        <v>10</v>
      </c>
      <c r="AL25">
        <f>SUM($K25:T25)</f>
        <v>10</v>
      </c>
      <c r="AM25">
        <f>SUM($K25:U25)</f>
        <v>10</v>
      </c>
      <c r="AN25">
        <f>SUM($K25:V25)</f>
        <v>10</v>
      </c>
      <c r="AO25">
        <f>SUM($K25:W25)</f>
        <v>10</v>
      </c>
      <c r="AP25">
        <f>SUM($K25:X25)</f>
        <v>10</v>
      </c>
      <c r="AQ25">
        <f>SUM($K25:Y25)</f>
        <v>10</v>
      </c>
      <c r="AR25" t="str">
        <f t="shared" si="3"/>
        <v>ОТКРЫТО</v>
      </c>
      <c r="AS25" t="str">
        <f t="shared" si="4"/>
        <v>ОТКРЫТО</v>
      </c>
      <c r="AT25" t="str">
        <f t="shared" si="5"/>
        <v>ОТКРЫТО</v>
      </c>
      <c r="AU25" t="str">
        <f t="shared" si="6"/>
        <v>ОТКРЫТО</v>
      </c>
      <c r="AV25" t="str">
        <f t="shared" si="7"/>
        <v>ОТКРЫТО</v>
      </c>
      <c r="AW25" t="str">
        <f t="shared" si="8"/>
        <v>ОТКРЫТО</v>
      </c>
      <c r="AX25" t="str">
        <f t="shared" si="9"/>
        <v>ОТКРЫТО</v>
      </c>
      <c r="AY25" t="str">
        <f t="shared" si="10"/>
        <v>ОТКРЫТО</v>
      </c>
      <c r="AZ25" t="str">
        <f t="shared" si="11"/>
        <v>ОТКРЫТО</v>
      </c>
      <c r="BA25" t="str">
        <f t="shared" si="12"/>
        <v>ОТКРЫТО</v>
      </c>
      <c r="BB25" t="str">
        <f t="shared" si="13"/>
        <v>ОТКРЫТО</v>
      </c>
      <c r="BC25" t="str">
        <f t="shared" si="14"/>
        <v>ОТКРЫТО</v>
      </c>
      <c r="BD25" t="str">
        <f t="shared" si="15"/>
        <v>ОТКРЫТО</v>
      </c>
      <c r="BE25" t="str">
        <f t="shared" si="16"/>
        <v>ОТКРЫТО</v>
      </c>
      <c r="BF25" t="str">
        <f t="shared" si="17"/>
        <v>ОТКРЫТО</v>
      </c>
      <c r="BG25" t="str">
        <f t="shared" si="18"/>
        <v/>
      </c>
      <c r="BH25" t="str">
        <f t="shared" si="19"/>
        <v/>
      </c>
    </row>
    <row r="26" spans="1:60" ht="185.25">
      <c r="A26" s="3" t="s">
        <v>134</v>
      </c>
      <c r="B26" s="3" t="s">
        <v>122</v>
      </c>
      <c r="C26" s="3" t="s">
        <v>82</v>
      </c>
      <c r="D26" s="3" t="s">
        <v>135</v>
      </c>
      <c r="E26" s="3">
        <v>60</v>
      </c>
      <c r="F26" s="3" t="s">
        <v>126</v>
      </c>
      <c r="G26" s="3" t="s">
        <v>130</v>
      </c>
      <c r="H26" s="3"/>
      <c r="I26" s="3" t="s">
        <v>136</v>
      </c>
      <c r="J26" s="3" t="s">
        <v>137</v>
      </c>
      <c r="K26" s="4">
        <f>SUMIF('Ход 2026'!$G$29:$G$38,$A26,'Ход 2026'!$I$29:$I$38)*(1+'Эффекты технологий'!J$7)</f>
        <v>0</v>
      </c>
      <c r="L26" s="4">
        <f>SUMIF('Ход 2027'!$G$29:$G$38,$A26,'Ход 2027'!$I$29:$I$38)*(1+'Эффекты технологий'!K$7)</f>
        <v>0</v>
      </c>
      <c r="M26" s="4">
        <f>SUMIF('Ход 2028'!$G$29:$G$38,$A26,'Ход 2028'!$I$29:$I$38)*(1+'Эффекты технологий'!L$7)</f>
        <v>0</v>
      </c>
      <c r="N26" s="4">
        <f>SUMIF('Ход 2029'!$G$29:$G$38,$A26,'Ход 2029'!$I$29:$I$38)*(1+'Эффекты технологий'!M$7)</f>
        <v>0</v>
      </c>
      <c r="O26" s="4">
        <f>SUMIF('Ход 2030'!$G$29:$G$38,$A26,'Ход 2030'!$I$29:$I$38)*(1+'Эффекты технологий'!N$7)</f>
        <v>0</v>
      </c>
      <c r="P26" s="4">
        <f>SUMIF('Ход 2031'!$G$29:$G$38,$A26,'Ход 2031'!$I$29:$I$38)*(1+'Эффекты технологий'!O$7)</f>
        <v>0</v>
      </c>
      <c r="Q26" s="4">
        <f>SUMIF('Ход 2032'!$G$29:$G$38,$A26,'Ход 2032'!$I$29:$I$38)*(1+'Эффекты технологий'!P$7)</f>
        <v>0</v>
      </c>
      <c r="R26" s="4">
        <f>SUMIF('Ход 2033'!$G$29:$G$38,$A26,'Ход 2033'!$I$29:$I$38)*(1+'Эффекты технологий'!Q$7)</f>
        <v>0</v>
      </c>
      <c r="S26" s="4">
        <f>SUMIF('Ход 2034'!$G$29:$G$38,$A26,'Ход 2034'!$I$29:$I$38)*(1+'Эффекты технологий'!R$7)</f>
        <v>0</v>
      </c>
      <c r="T26" s="4">
        <f>SUMIF('Ход 2035'!$G$29:$G$38,$A26,'Ход 2035'!$I$29:$I$38)*(1+'Эффекты технологий'!S$7)</f>
        <v>0</v>
      </c>
      <c r="U26" s="4">
        <f>SUMIF('Ход 2036'!$G$29:$G$38,$A26,'Ход 2036'!$I$29:$I$38)*(1+'Эффекты технологий'!T$7)</f>
        <v>0</v>
      </c>
      <c r="V26" s="4">
        <f>SUMIF('Ход 2037'!$G$29:$G$38,$A26,'Ход 2037'!$I$29:$I$38)*(1+'Эффекты технологий'!U$7)</f>
        <v>0</v>
      </c>
      <c r="W26" s="4">
        <f>SUMIF('Ход 2038'!$G$29:$G$38,$A26,'Ход 2038'!$I$29:$I$38)*(1+'Эффекты технологий'!V$7)</f>
        <v>0</v>
      </c>
      <c r="X26" s="4">
        <f>SUMIF('Ход 2039'!$G$29:$G$38,$A26,'Ход 2039'!$I$29:$I$38)*(1+'Эффекты технологий'!W$7)</f>
        <v>0</v>
      </c>
      <c r="Y26" s="4">
        <f>SUMIF('Ход 2040'!$G$29:$G$38,$A26,'Ход 2040'!$I$29:$I$38)*(1+'Эффекты технологий'!X$7)</f>
        <v>0</v>
      </c>
      <c r="Z26" s="5">
        <f t="shared" si="0"/>
        <v>0</v>
      </c>
      <c r="AA26" s="5">
        <f t="shared" si="1"/>
        <v>60</v>
      </c>
      <c r="AB26" s="3" t="str">
        <f t="shared" si="2"/>
        <v>ОТКРЫТО</v>
      </c>
      <c r="AC26">
        <f>SUM($K26:K26)</f>
        <v>0</v>
      </c>
      <c r="AD26">
        <f>SUM($K26:L26)</f>
        <v>0</v>
      </c>
      <c r="AE26">
        <f>SUM($K26:M26)</f>
        <v>0</v>
      </c>
      <c r="AF26">
        <f>SUM($K26:N26)</f>
        <v>0</v>
      </c>
      <c r="AG26">
        <f>SUM($K26:O26)</f>
        <v>0</v>
      </c>
      <c r="AH26">
        <f>SUM($K26:P26)</f>
        <v>0</v>
      </c>
      <c r="AI26">
        <f>SUM($K26:Q26)</f>
        <v>0</v>
      </c>
      <c r="AJ26">
        <f>SUM($K26:R26)</f>
        <v>0</v>
      </c>
      <c r="AK26">
        <f>SUM($K26:S26)</f>
        <v>0</v>
      </c>
      <c r="AL26">
        <f>SUM($K26:T26)</f>
        <v>0</v>
      </c>
      <c r="AM26">
        <f>SUM($K26:U26)</f>
        <v>0</v>
      </c>
      <c r="AN26">
        <f>SUM($K26:V26)</f>
        <v>0</v>
      </c>
      <c r="AO26">
        <f>SUM($K26:W26)</f>
        <v>0</v>
      </c>
      <c r="AP26">
        <f>SUM($K26:X26)</f>
        <v>0</v>
      </c>
      <c r="AQ26">
        <f>SUM($K26:Y26)</f>
        <v>0</v>
      </c>
      <c r="AR26" t="str">
        <f t="shared" si="3"/>
        <v>ОТКРЫТО</v>
      </c>
      <c r="AS26" t="str">
        <f t="shared" si="4"/>
        <v>ОТКРЫТО</v>
      </c>
      <c r="AT26" t="str">
        <f t="shared" si="5"/>
        <v>ОТКРЫТО</v>
      </c>
      <c r="AU26" t="str">
        <f t="shared" si="6"/>
        <v>ОТКРЫТО</v>
      </c>
      <c r="AV26" t="str">
        <f t="shared" si="7"/>
        <v>ОТКРЫТО</v>
      </c>
      <c r="AW26" t="str">
        <f t="shared" si="8"/>
        <v>ОТКРЫТО</v>
      </c>
      <c r="AX26" t="str">
        <f t="shared" si="9"/>
        <v>ОТКРЫТО</v>
      </c>
      <c r="AY26" t="str">
        <f t="shared" si="10"/>
        <v>ОТКРЫТО</v>
      </c>
      <c r="AZ26" t="str">
        <f t="shared" si="11"/>
        <v>ОТКРЫТО</v>
      </c>
      <c r="BA26" t="str">
        <f t="shared" si="12"/>
        <v>ОТКРЫТО</v>
      </c>
      <c r="BB26" t="str">
        <f t="shared" si="13"/>
        <v>ОТКРЫТО</v>
      </c>
      <c r="BC26" t="str">
        <f t="shared" si="14"/>
        <v>ОТКРЫТО</v>
      </c>
      <c r="BD26" t="str">
        <f t="shared" si="15"/>
        <v>ОТКРЫТО</v>
      </c>
      <c r="BE26" t="str">
        <f t="shared" si="16"/>
        <v>ОТКРЫТО</v>
      </c>
      <c r="BF26" t="str">
        <f t="shared" si="17"/>
        <v>ОТКРЫТО</v>
      </c>
      <c r="BG26" t="str">
        <f t="shared" si="18"/>
        <v/>
      </c>
      <c r="BH26" t="str">
        <f t="shared" si="19"/>
        <v/>
      </c>
    </row>
    <row r="27" spans="1:60" ht="171">
      <c r="A27" s="3" t="s">
        <v>138</v>
      </c>
      <c r="B27" s="3" t="s">
        <v>122</v>
      </c>
      <c r="C27" s="3" t="s">
        <v>87</v>
      </c>
      <c r="D27" s="3" t="s">
        <v>139</v>
      </c>
      <c r="E27" s="3">
        <v>95</v>
      </c>
      <c r="F27" s="3" t="s">
        <v>134</v>
      </c>
      <c r="G27" s="3"/>
      <c r="H27" s="3"/>
      <c r="I27" s="3" t="s">
        <v>140</v>
      </c>
      <c r="J27" s="3" t="s">
        <v>141</v>
      </c>
      <c r="K27" s="4">
        <f>SUMIF('Ход 2026'!$G$29:$G$38,$A27,'Ход 2026'!$I$29:$I$38)*(1+'Эффекты технологий'!J$7)</f>
        <v>10</v>
      </c>
      <c r="L27" s="4">
        <f>SUMIF('Ход 2027'!$G$29:$G$38,$A27,'Ход 2027'!$I$29:$I$38)*(1+'Эффекты технологий'!K$7)</f>
        <v>0</v>
      </c>
      <c r="M27" s="4">
        <f>SUMIF('Ход 2028'!$G$29:$G$38,$A27,'Ход 2028'!$I$29:$I$38)*(1+'Эффекты технологий'!L$7)</f>
        <v>0</v>
      </c>
      <c r="N27" s="4">
        <f>SUMIF('Ход 2029'!$G$29:$G$38,$A27,'Ход 2029'!$I$29:$I$38)*(1+'Эффекты технологий'!M$7)</f>
        <v>0</v>
      </c>
      <c r="O27" s="4">
        <f>SUMIF('Ход 2030'!$G$29:$G$38,$A27,'Ход 2030'!$I$29:$I$38)*(1+'Эффекты технологий'!N$7)</f>
        <v>0</v>
      </c>
      <c r="P27" s="4">
        <f>SUMIF('Ход 2031'!$G$29:$G$38,$A27,'Ход 2031'!$I$29:$I$38)*(1+'Эффекты технологий'!O$7)</f>
        <v>0</v>
      </c>
      <c r="Q27" s="4">
        <f>SUMIF('Ход 2032'!$G$29:$G$38,$A27,'Ход 2032'!$I$29:$I$38)*(1+'Эффекты технологий'!P$7)</f>
        <v>0</v>
      </c>
      <c r="R27" s="4">
        <f>SUMIF('Ход 2033'!$G$29:$G$38,$A27,'Ход 2033'!$I$29:$I$38)*(1+'Эффекты технологий'!Q$7)</f>
        <v>0</v>
      </c>
      <c r="S27" s="4">
        <f>SUMIF('Ход 2034'!$G$29:$G$38,$A27,'Ход 2034'!$I$29:$I$38)*(1+'Эффекты технологий'!R$7)</f>
        <v>0</v>
      </c>
      <c r="T27" s="4">
        <f>SUMIF('Ход 2035'!$G$29:$G$38,$A27,'Ход 2035'!$I$29:$I$38)*(1+'Эффекты технологий'!S$7)</f>
        <v>0</v>
      </c>
      <c r="U27" s="4">
        <f>SUMIF('Ход 2036'!$G$29:$G$38,$A27,'Ход 2036'!$I$29:$I$38)*(1+'Эффекты технологий'!T$7)</f>
        <v>0</v>
      </c>
      <c r="V27" s="4">
        <f>SUMIF('Ход 2037'!$G$29:$G$38,$A27,'Ход 2037'!$I$29:$I$38)*(1+'Эффекты технологий'!U$7)</f>
        <v>0</v>
      </c>
      <c r="W27" s="4">
        <f>SUMIF('Ход 2038'!$G$29:$G$38,$A27,'Ход 2038'!$I$29:$I$38)*(1+'Эффекты технологий'!V$7)</f>
        <v>0</v>
      </c>
      <c r="X27" s="4">
        <f>SUMIF('Ход 2039'!$G$29:$G$38,$A27,'Ход 2039'!$I$29:$I$38)*(1+'Эффекты технологий'!W$7)</f>
        <v>0</v>
      </c>
      <c r="Y27" s="4">
        <f>SUMIF('Ход 2040'!$G$29:$G$38,$A27,'Ход 2040'!$I$29:$I$38)*(1+'Эффекты технологий'!X$7)</f>
        <v>0</v>
      </c>
      <c r="Z27" s="5">
        <f t="shared" si="0"/>
        <v>10</v>
      </c>
      <c r="AA27" s="5">
        <f t="shared" si="1"/>
        <v>85</v>
      </c>
      <c r="AB27" s="3" t="str">
        <f t="shared" si="2"/>
        <v>ОТКРЫТО</v>
      </c>
      <c r="AC27">
        <f>SUM($K27:K27)</f>
        <v>10</v>
      </c>
      <c r="AD27">
        <f>SUM($K27:L27)</f>
        <v>10</v>
      </c>
      <c r="AE27">
        <f>SUM($K27:M27)</f>
        <v>10</v>
      </c>
      <c r="AF27">
        <f>SUM($K27:N27)</f>
        <v>10</v>
      </c>
      <c r="AG27">
        <f>SUM($K27:O27)</f>
        <v>10</v>
      </c>
      <c r="AH27">
        <f>SUM($K27:P27)</f>
        <v>10</v>
      </c>
      <c r="AI27">
        <f>SUM($K27:Q27)</f>
        <v>10</v>
      </c>
      <c r="AJ27">
        <f>SUM($K27:R27)</f>
        <v>10</v>
      </c>
      <c r="AK27">
        <f>SUM($K27:S27)</f>
        <v>10</v>
      </c>
      <c r="AL27">
        <f>SUM($K27:T27)</f>
        <v>10</v>
      </c>
      <c r="AM27">
        <f>SUM($K27:U27)</f>
        <v>10</v>
      </c>
      <c r="AN27">
        <f>SUM($K27:V27)</f>
        <v>10</v>
      </c>
      <c r="AO27">
        <f>SUM($K27:W27)</f>
        <v>10</v>
      </c>
      <c r="AP27">
        <f>SUM($K27:X27)</f>
        <v>10</v>
      </c>
      <c r="AQ27">
        <f>SUM($K27:Y27)</f>
        <v>10</v>
      </c>
      <c r="AR27" t="str">
        <f t="shared" si="3"/>
        <v>ОТКРЫТО</v>
      </c>
      <c r="AS27" t="str">
        <f t="shared" si="4"/>
        <v>ОТКРЫТО</v>
      </c>
      <c r="AT27" t="str">
        <f t="shared" si="5"/>
        <v>ОТКРЫТО</v>
      </c>
      <c r="AU27" t="str">
        <f t="shared" si="6"/>
        <v>ОТКРЫТО</v>
      </c>
      <c r="AV27" t="str">
        <f t="shared" si="7"/>
        <v>ОТКРЫТО</v>
      </c>
      <c r="AW27" t="str">
        <f t="shared" si="8"/>
        <v>ОТКРЫТО</v>
      </c>
      <c r="AX27" t="str">
        <f t="shared" si="9"/>
        <v>ОТКРЫТО</v>
      </c>
      <c r="AY27" t="str">
        <f t="shared" si="10"/>
        <v>ОТКРЫТО</v>
      </c>
      <c r="AZ27" t="str">
        <f t="shared" si="11"/>
        <v>ОТКРЫТО</v>
      </c>
      <c r="BA27" t="str">
        <f t="shared" si="12"/>
        <v>ОТКРЫТО</v>
      </c>
      <c r="BB27" t="str">
        <f t="shared" si="13"/>
        <v>ОТКРЫТО</v>
      </c>
      <c r="BC27" t="str">
        <f t="shared" si="14"/>
        <v>ОТКРЫТО</v>
      </c>
      <c r="BD27" t="str">
        <f t="shared" si="15"/>
        <v>ОТКРЫТО</v>
      </c>
      <c r="BE27" t="str">
        <f t="shared" si="16"/>
        <v>ОТКРЫТО</v>
      </c>
      <c r="BF27" t="str">
        <f t="shared" si="17"/>
        <v>ОТКРЫТО</v>
      </c>
      <c r="BG27" t="str">
        <f t="shared" si="18"/>
        <v/>
      </c>
      <c r="BH27" t="str">
        <f t="shared" si="19"/>
        <v/>
      </c>
    </row>
    <row r="28" spans="1:60" ht="185.25">
      <c r="A28" s="3" t="s">
        <v>142</v>
      </c>
      <c r="B28" s="3" t="s">
        <v>122</v>
      </c>
      <c r="C28" s="3" t="s">
        <v>92</v>
      </c>
      <c r="D28" s="3" t="s">
        <v>143</v>
      </c>
      <c r="E28" s="3">
        <v>140</v>
      </c>
      <c r="F28" s="3" t="s">
        <v>138</v>
      </c>
      <c r="G28" s="3"/>
      <c r="H28" s="3"/>
      <c r="I28" s="3" t="s">
        <v>144</v>
      </c>
      <c r="J28" s="3" t="s">
        <v>145</v>
      </c>
      <c r="K28" s="4">
        <f>SUMIF('Ход 2026'!$G$29:$G$38,$A28,'Ход 2026'!$I$29:$I$38)*(1+'Эффекты технологий'!J$7)</f>
        <v>0</v>
      </c>
      <c r="L28" s="4">
        <f>SUMIF('Ход 2027'!$G$29:$G$38,$A28,'Ход 2027'!$I$29:$I$38)*(1+'Эффекты технологий'!K$7)</f>
        <v>0</v>
      </c>
      <c r="M28" s="4">
        <f>SUMIF('Ход 2028'!$G$29:$G$38,$A28,'Ход 2028'!$I$29:$I$38)*(1+'Эффекты технологий'!L$7)</f>
        <v>0</v>
      </c>
      <c r="N28" s="4">
        <f>SUMIF('Ход 2029'!$G$29:$G$38,$A28,'Ход 2029'!$I$29:$I$38)*(1+'Эффекты технологий'!M$7)</f>
        <v>0</v>
      </c>
      <c r="O28" s="4">
        <f>SUMIF('Ход 2030'!$G$29:$G$38,$A28,'Ход 2030'!$I$29:$I$38)*(1+'Эффекты технологий'!N$7)</f>
        <v>0</v>
      </c>
      <c r="P28" s="4">
        <f>SUMIF('Ход 2031'!$G$29:$G$38,$A28,'Ход 2031'!$I$29:$I$38)*(1+'Эффекты технологий'!O$7)</f>
        <v>0</v>
      </c>
      <c r="Q28" s="4">
        <f>SUMIF('Ход 2032'!$G$29:$G$38,$A28,'Ход 2032'!$I$29:$I$38)*(1+'Эффекты технологий'!P$7)</f>
        <v>0</v>
      </c>
      <c r="R28" s="4">
        <f>SUMIF('Ход 2033'!$G$29:$G$38,$A28,'Ход 2033'!$I$29:$I$38)*(1+'Эффекты технологий'!Q$7)</f>
        <v>0</v>
      </c>
      <c r="S28" s="4">
        <f>SUMIF('Ход 2034'!$G$29:$G$38,$A28,'Ход 2034'!$I$29:$I$38)*(1+'Эффекты технологий'!R$7)</f>
        <v>0</v>
      </c>
      <c r="T28" s="4">
        <f>SUMIF('Ход 2035'!$G$29:$G$38,$A28,'Ход 2035'!$I$29:$I$38)*(1+'Эффекты технологий'!S$7)</f>
        <v>0</v>
      </c>
      <c r="U28" s="4">
        <f>SUMIF('Ход 2036'!$G$29:$G$38,$A28,'Ход 2036'!$I$29:$I$38)*(1+'Эффекты технологий'!T$7)</f>
        <v>0</v>
      </c>
      <c r="V28" s="4">
        <f>SUMIF('Ход 2037'!$G$29:$G$38,$A28,'Ход 2037'!$I$29:$I$38)*(1+'Эффекты технологий'!U$7)</f>
        <v>0</v>
      </c>
      <c r="W28" s="4">
        <f>SUMIF('Ход 2038'!$G$29:$G$38,$A28,'Ход 2038'!$I$29:$I$38)*(1+'Эффекты технологий'!V$7)</f>
        <v>0</v>
      </c>
      <c r="X28" s="4">
        <f>SUMIF('Ход 2039'!$G$29:$G$38,$A28,'Ход 2039'!$I$29:$I$38)*(1+'Эффекты технологий'!W$7)</f>
        <v>0</v>
      </c>
      <c r="Y28" s="4">
        <f>SUMIF('Ход 2040'!$G$29:$G$38,$A28,'Ход 2040'!$I$29:$I$38)*(1+'Эффекты технологий'!X$7)</f>
        <v>0</v>
      </c>
      <c r="Z28" s="5">
        <f t="shared" si="0"/>
        <v>0</v>
      </c>
      <c r="AA28" s="5">
        <f t="shared" si="1"/>
        <v>140</v>
      </c>
      <c r="AB28" s="3" t="str">
        <f t="shared" si="2"/>
        <v>ОТКРЫТО</v>
      </c>
      <c r="AC28">
        <f>SUM($K28:K28)</f>
        <v>0</v>
      </c>
      <c r="AD28">
        <f>SUM($K28:L28)</f>
        <v>0</v>
      </c>
      <c r="AE28">
        <f>SUM($K28:M28)</f>
        <v>0</v>
      </c>
      <c r="AF28">
        <f>SUM($K28:N28)</f>
        <v>0</v>
      </c>
      <c r="AG28">
        <f>SUM($K28:O28)</f>
        <v>0</v>
      </c>
      <c r="AH28">
        <f>SUM($K28:P28)</f>
        <v>0</v>
      </c>
      <c r="AI28">
        <f>SUM($K28:Q28)</f>
        <v>0</v>
      </c>
      <c r="AJ28">
        <f>SUM($K28:R28)</f>
        <v>0</v>
      </c>
      <c r="AK28">
        <f>SUM($K28:S28)</f>
        <v>0</v>
      </c>
      <c r="AL28">
        <f>SUM($K28:T28)</f>
        <v>0</v>
      </c>
      <c r="AM28">
        <f>SUM($K28:U28)</f>
        <v>0</v>
      </c>
      <c r="AN28">
        <f>SUM($K28:V28)</f>
        <v>0</v>
      </c>
      <c r="AO28">
        <f>SUM($K28:W28)</f>
        <v>0</v>
      </c>
      <c r="AP28">
        <f>SUM($K28:X28)</f>
        <v>0</v>
      </c>
      <c r="AQ28">
        <f>SUM($K28:Y28)</f>
        <v>0</v>
      </c>
      <c r="AR28" t="str">
        <f t="shared" si="3"/>
        <v>ОТКРЫТО</v>
      </c>
      <c r="AS28" t="str">
        <f t="shared" si="4"/>
        <v>ОТКРЫТО</v>
      </c>
      <c r="AT28" t="str">
        <f t="shared" si="5"/>
        <v>ОТКРЫТО</v>
      </c>
      <c r="AU28" t="str">
        <f t="shared" si="6"/>
        <v>ОТКРЫТО</v>
      </c>
      <c r="AV28" t="str">
        <f t="shared" si="7"/>
        <v>ОТКРЫТО</v>
      </c>
      <c r="AW28" t="str">
        <f t="shared" si="8"/>
        <v>ОТКРЫТО</v>
      </c>
      <c r="AX28" t="str">
        <f t="shared" si="9"/>
        <v>ОТКРЫТО</v>
      </c>
      <c r="AY28" t="str">
        <f t="shared" si="10"/>
        <v>ОТКРЫТО</v>
      </c>
      <c r="AZ28" t="str">
        <f t="shared" si="11"/>
        <v>ОТКРЫТО</v>
      </c>
      <c r="BA28" t="str">
        <f t="shared" si="12"/>
        <v>ОТКРЫТО</v>
      </c>
      <c r="BB28" t="str">
        <f t="shared" si="13"/>
        <v>ОТКРЫТО</v>
      </c>
      <c r="BC28" t="str">
        <f t="shared" si="14"/>
        <v>ОТКРЫТО</v>
      </c>
      <c r="BD28" t="str">
        <f t="shared" si="15"/>
        <v>ОТКРЫТО</v>
      </c>
      <c r="BE28" t="str">
        <f t="shared" si="16"/>
        <v>ОТКРЫТО</v>
      </c>
      <c r="BF28" t="str">
        <f t="shared" si="17"/>
        <v>ОТКРЫТО</v>
      </c>
      <c r="BG28" t="str">
        <f t="shared" si="18"/>
        <v/>
      </c>
      <c r="BH28" t="str">
        <f t="shared" si="19"/>
        <v/>
      </c>
    </row>
    <row r="29" spans="1:60" ht="185.25">
      <c r="A29" s="3" t="s">
        <v>146</v>
      </c>
      <c r="B29" s="3" t="s">
        <v>147</v>
      </c>
      <c r="C29" s="3" t="s">
        <v>68</v>
      </c>
      <c r="D29" s="3" t="s">
        <v>148</v>
      </c>
      <c r="E29" s="3">
        <v>20</v>
      </c>
      <c r="F29" s="3"/>
      <c r="G29" s="3"/>
      <c r="H29" s="3"/>
      <c r="I29" s="3" t="s">
        <v>149</v>
      </c>
      <c r="J29" s="3" t="s">
        <v>150</v>
      </c>
      <c r="K29" s="4">
        <f>SUMIF('Ход 2026'!$G$29:$G$38,$A29,'Ход 2026'!$I$29:$I$38)*(1+'Эффекты технологий'!J$7+'Эффекты технологий'!J$9)</f>
        <v>0</v>
      </c>
      <c r="L29" s="4">
        <f>SUMIF('Ход 2027'!$G$29:$G$38,$A29,'Ход 2027'!$I$29:$I$38)*(1+'Эффекты технологий'!K$7+'Эффекты технологий'!K$9)</f>
        <v>0</v>
      </c>
      <c r="M29" s="4">
        <f>SUMIF('Ход 2028'!$G$29:$G$38,$A29,'Ход 2028'!$I$29:$I$38)*(1+'Эффекты технологий'!L$7+'Эффекты технологий'!L$9)</f>
        <v>0</v>
      </c>
      <c r="N29" s="4">
        <f>SUMIF('Ход 2029'!$G$29:$G$38,$A29,'Ход 2029'!$I$29:$I$38)*(1+'Эффекты технологий'!M$7+'Эффекты технологий'!M$9)</f>
        <v>0</v>
      </c>
      <c r="O29" s="4">
        <f>SUMIF('Ход 2030'!$G$29:$G$38,$A29,'Ход 2030'!$I$29:$I$38)*(1+'Эффекты технологий'!N$7+'Эффекты технологий'!N$9)</f>
        <v>0</v>
      </c>
      <c r="P29" s="4">
        <f>SUMIF('Ход 2031'!$G$29:$G$38,$A29,'Ход 2031'!$I$29:$I$38)*(1+'Эффекты технологий'!O$7+'Эффекты технологий'!O$9)</f>
        <v>0</v>
      </c>
      <c r="Q29" s="4">
        <f>SUMIF('Ход 2032'!$G$29:$G$38,$A29,'Ход 2032'!$I$29:$I$38)*(1+'Эффекты технологий'!P$7+'Эффекты технологий'!P$9)</f>
        <v>0</v>
      </c>
      <c r="R29" s="4">
        <f>SUMIF('Ход 2033'!$G$29:$G$38,$A29,'Ход 2033'!$I$29:$I$38)*(1+'Эффекты технологий'!Q$7+'Эффекты технологий'!Q$9)</f>
        <v>0</v>
      </c>
      <c r="S29" s="4">
        <f>SUMIF('Ход 2034'!$G$29:$G$38,$A29,'Ход 2034'!$I$29:$I$38)*(1+'Эффекты технологий'!R$7+'Эффекты технологий'!R$9)</f>
        <v>0</v>
      </c>
      <c r="T29" s="4">
        <f>SUMIF('Ход 2035'!$G$29:$G$38,$A29,'Ход 2035'!$I$29:$I$38)*(1+'Эффекты технологий'!S$7+'Эффекты технологий'!S$9)</f>
        <v>0</v>
      </c>
      <c r="U29" s="4">
        <f>SUMIF('Ход 2036'!$G$29:$G$38,$A29,'Ход 2036'!$I$29:$I$38)*(1+'Эффекты технологий'!T$7+'Эффекты технологий'!T$9)</f>
        <v>0</v>
      </c>
      <c r="V29" s="4">
        <f>SUMIF('Ход 2037'!$G$29:$G$38,$A29,'Ход 2037'!$I$29:$I$38)*(1+'Эффекты технологий'!U$7+'Эффекты технологий'!U$9)</f>
        <v>0</v>
      </c>
      <c r="W29" s="4">
        <f>SUMIF('Ход 2038'!$G$29:$G$38,$A29,'Ход 2038'!$I$29:$I$38)*(1+'Эффекты технологий'!V$7+'Эффекты технологий'!V$9)</f>
        <v>0</v>
      </c>
      <c r="X29" s="4">
        <f>SUMIF('Ход 2039'!$G$29:$G$38,$A29,'Ход 2039'!$I$29:$I$38)*(1+'Эффекты технологий'!W$7+'Эффекты технологий'!W$9)</f>
        <v>0</v>
      </c>
      <c r="Y29" s="4">
        <f>SUMIF('Ход 2040'!$G$29:$G$38,$A29,'Ход 2040'!$I$29:$I$38)*(1+'Эффекты технологий'!X$7+'Эффекты технологий'!X$9)</f>
        <v>0</v>
      </c>
      <c r="Z29" s="5">
        <f t="shared" si="0"/>
        <v>0</v>
      </c>
      <c r="AA29" s="5">
        <f t="shared" si="1"/>
        <v>20</v>
      </c>
      <c r="AB29" s="3" t="str">
        <f t="shared" si="2"/>
        <v>ОТКРЫТО</v>
      </c>
      <c r="AC29">
        <f>SUM($K29:K29)</f>
        <v>0</v>
      </c>
      <c r="AD29">
        <f>SUM($K29:L29)</f>
        <v>0</v>
      </c>
      <c r="AE29">
        <f>SUM($K29:M29)</f>
        <v>0</v>
      </c>
      <c r="AF29">
        <f>SUM($K29:N29)</f>
        <v>0</v>
      </c>
      <c r="AG29">
        <f>SUM($K29:O29)</f>
        <v>0</v>
      </c>
      <c r="AH29">
        <f>SUM($K29:P29)</f>
        <v>0</v>
      </c>
      <c r="AI29">
        <f>SUM($K29:Q29)</f>
        <v>0</v>
      </c>
      <c r="AJ29">
        <f>SUM($K29:R29)</f>
        <v>0</v>
      </c>
      <c r="AK29">
        <f>SUM($K29:S29)</f>
        <v>0</v>
      </c>
      <c r="AL29">
        <f>SUM($K29:T29)</f>
        <v>0</v>
      </c>
      <c r="AM29">
        <f>SUM($K29:U29)</f>
        <v>0</v>
      </c>
      <c r="AN29">
        <f>SUM($K29:V29)</f>
        <v>0</v>
      </c>
      <c r="AO29">
        <f>SUM($K29:W29)</f>
        <v>0</v>
      </c>
      <c r="AP29">
        <f>SUM($K29:X29)</f>
        <v>0</v>
      </c>
      <c r="AQ29">
        <f>SUM($K29:Y29)</f>
        <v>0</v>
      </c>
      <c r="AR29" t="str">
        <f t="shared" si="3"/>
        <v>ОТКРЫТО</v>
      </c>
      <c r="AS29" t="str">
        <f t="shared" si="4"/>
        <v>ОТКРЫТО</v>
      </c>
      <c r="AT29" t="str">
        <f t="shared" si="5"/>
        <v>ОТКРЫТО</v>
      </c>
      <c r="AU29" t="str">
        <f t="shared" si="6"/>
        <v>ОТКРЫТО</v>
      </c>
      <c r="AV29" t="str">
        <f t="shared" si="7"/>
        <v>ОТКРЫТО</v>
      </c>
      <c r="AW29" t="str">
        <f t="shared" si="8"/>
        <v>ОТКРЫТО</v>
      </c>
      <c r="AX29" t="str">
        <f t="shared" si="9"/>
        <v>ОТКРЫТО</v>
      </c>
      <c r="AY29" t="str">
        <f t="shared" si="10"/>
        <v>ОТКРЫТО</v>
      </c>
      <c r="AZ29" t="str">
        <f t="shared" si="11"/>
        <v>ОТКРЫТО</v>
      </c>
      <c r="BA29" t="str">
        <f t="shared" si="12"/>
        <v>ОТКРЫТО</v>
      </c>
      <c r="BB29" t="str">
        <f t="shared" si="13"/>
        <v>ОТКРЫТО</v>
      </c>
      <c r="BC29" t="str">
        <f t="shared" si="14"/>
        <v>ОТКРЫТО</v>
      </c>
      <c r="BD29" t="str">
        <f t="shared" si="15"/>
        <v>ОТКРЫТО</v>
      </c>
      <c r="BE29" t="str">
        <f t="shared" si="16"/>
        <v>ОТКРЫТО</v>
      </c>
      <c r="BF29" t="str">
        <f t="shared" si="17"/>
        <v>ОТКРЫТО</v>
      </c>
      <c r="BG29" t="str">
        <f t="shared" si="18"/>
        <v/>
      </c>
      <c r="BH29" t="str">
        <f t="shared" si="19"/>
        <v/>
      </c>
    </row>
    <row r="30" spans="1:60" ht="142.5">
      <c r="A30" s="3" t="s">
        <v>151</v>
      </c>
      <c r="B30" s="3" t="s">
        <v>147</v>
      </c>
      <c r="C30" s="3" t="s">
        <v>73</v>
      </c>
      <c r="D30" s="3" t="s">
        <v>152</v>
      </c>
      <c r="E30" s="3">
        <v>35</v>
      </c>
      <c r="F30" s="3" t="s">
        <v>146</v>
      </c>
      <c r="G30" s="3"/>
      <c r="H30" s="3"/>
      <c r="I30" s="3" t="s">
        <v>153</v>
      </c>
      <c r="J30" s="3" t="s">
        <v>154</v>
      </c>
      <c r="K30" s="4">
        <f>SUMIF('Ход 2026'!$G$29:$G$38,$A30,'Ход 2026'!$I$29:$I$38)*(1+'Эффекты технологий'!J$7+'Эффекты технологий'!J$9)</f>
        <v>0</v>
      </c>
      <c r="L30" s="4">
        <f>SUMIF('Ход 2027'!$G$29:$G$38,$A30,'Ход 2027'!$I$29:$I$38)*(1+'Эффекты технологий'!K$7+'Эффекты технологий'!K$9)</f>
        <v>0</v>
      </c>
      <c r="M30" s="4">
        <f>SUMIF('Ход 2028'!$G$29:$G$38,$A30,'Ход 2028'!$I$29:$I$38)*(1+'Эффекты технологий'!L$7+'Эффекты технологий'!L$9)</f>
        <v>0</v>
      </c>
      <c r="N30" s="4">
        <f>SUMIF('Ход 2029'!$G$29:$G$38,$A30,'Ход 2029'!$I$29:$I$38)*(1+'Эффекты технологий'!M$7+'Эффекты технологий'!M$9)</f>
        <v>0</v>
      </c>
      <c r="O30" s="4">
        <f>SUMIF('Ход 2030'!$G$29:$G$38,$A30,'Ход 2030'!$I$29:$I$38)*(1+'Эффекты технологий'!N$7+'Эффекты технологий'!N$9)</f>
        <v>0</v>
      </c>
      <c r="P30" s="4">
        <f>SUMIF('Ход 2031'!$G$29:$G$38,$A30,'Ход 2031'!$I$29:$I$38)*(1+'Эффекты технологий'!O$7+'Эффекты технологий'!O$9)</f>
        <v>0</v>
      </c>
      <c r="Q30" s="4">
        <f>SUMIF('Ход 2032'!$G$29:$G$38,$A30,'Ход 2032'!$I$29:$I$38)*(1+'Эффекты технологий'!P$7+'Эффекты технологий'!P$9)</f>
        <v>0</v>
      </c>
      <c r="R30" s="4">
        <f>SUMIF('Ход 2033'!$G$29:$G$38,$A30,'Ход 2033'!$I$29:$I$38)*(1+'Эффекты технологий'!Q$7+'Эффекты технологий'!Q$9)</f>
        <v>0</v>
      </c>
      <c r="S30" s="4">
        <f>SUMIF('Ход 2034'!$G$29:$G$38,$A30,'Ход 2034'!$I$29:$I$38)*(1+'Эффекты технологий'!R$7+'Эффекты технологий'!R$9)</f>
        <v>0</v>
      </c>
      <c r="T30" s="4">
        <f>SUMIF('Ход 2035'!$G$29:$G$38,$A30,'Ход 2035'!$I$29:$I$38)*(1+'Эффекты технологий'!S$7+'Эффекты технологий'!S$9)</f>
        <v>0</v>
      </c>
      <c r="U30" s="4">
        <f>SUMIF('Ход 2036'!$G$29:$G$38,$A30,'Ход 2036'!$I$29:$I$38)*(1+'Эффекты технологий'!T$7+'Эффекты технологий'!T$9)</f>
        <v>0</v>
      </c>
      <c r="V30" s="4">
        <f>SUMIF('Ход 2037'!$G$29:$G$38,$A30,'Ход 2037'!$I$29:$I$38)*(1+'Эффекты технологий'!U$7+'Эффекты технологий'!U$9)</f>
        <v>0</v>
      </c>
      <c r="W30" s="4">
        <f>SUMIF('Ход 2038'!$G$29:$G$38,$A30,'Ход 2038'!$I$29:$I$38)*(1+'Эффекты технологий'!V$7+'Эффекты технологий'!V$9)</f>
        <v>0</v>
      </c>
      <c r="X30" s="4">
        <f>SUMIF('Ход 2039'!$G$29:$G$38,$A30,'Ход 2039'!$I$29:$I$38)*(1+'Эффекты технологий'!W$7+'Эффекты технологий'!W$9)</f>
        <v>0</v>
      </c>
      <c r="Y30" s="4">
        <f>SUMIF('Ход 2040'!$G$29:$G$38,$A30,'Ход 2040'!$I$29:$I$38)*(1+'Эффекты технологий'!X$7+'Эффекты технологий'!X$9)</f>
        <v>0</v>
      </c>
      <c r="Z30" s="5">
        <f t="shared" si="0"/>
        <v>0</v>
      </c>
      <c r="AA30" s="5">
        <f t="shared" si="1"/>
        <v>35</v>
      </c>
      <c r="AB30" s="3" t="str">
        <f t="shared" si="2"/>
        <v>ОТКРЫТО</v>
      </c>
      <c r="AC30">
        <f>SUM($K30:K30)</f>
        <v>0</v>
      </c>
      <c r="AD30">
        <f>SUM($K30:L30)</f>
        <v>0</v>
      </c>
      <c r="AE30">
        <f>SUM($K30:M30)</f>
        <v>0</v>
      </c>
      <c r="AF30">
        <f>SUM($K30:N30)</f>
        <v>0</v>
      </c>
      <c r="AG30">
        <f>SUM($K30:O30)</f>
        <v>0</v>
      </c>
      <c r="AH30">
        <f>SUM($K30:P30)</f>
        <v>0</v>
      </c>
      <c r="AI30">
        <f>SUM($K30:Q30)</f>
        <v>0</v>
      </c>
      <c r="AJ30">
        <f>SUM($K30:R30)</f>
        <v>0</v>
      </c>
      <c r="AK30">
        <f>SUM($K30:S30)</f>
        <v>0</v>
      </c>
      <c r="AL30">
        <f>SUM($K30:T30)</f>
        <v>0</v>
      </c>
      <c r="AM30">
        <f>SUM($K30:U30)</f>
        <v>0</v>
      </c>
      <c r="AN30">
        <f>SUM($K30:V30)</f>
        <v>0</v>
      </c>
      <c r="AO30">
        <f>SUM($K30:W30)</f>
        <v>0</v>
      </c>
      <c r="AP30">
        <f>SUM($K30:X30)</f>
        <v>0</v>
      </c>
      <c r="AQ30">
        <f>SUM($K30:Y30)</f>
        <v>0</v>
      </c>
      <c r="AR30" t="str">
        <f t="shared" si="3"/>
        <v>ОТКРЫТО</v>
      </c>
      <c r="AS30" t="str">
        <f t="shared" si="4"/>
        <v>ОТКРЫТО</v>
      </c>
      <c r="AT30" t="str">
        <f t="shared" si="5"/>
        <v>ОТКРЫТО</v>
      </c>
      <c r="AU30" t="str">
        <f t="shared" si="6"/>
        <v>ОТКРЫТО</v>
      </c>
      <c r="AV30" t="str">
        <f t="shared" si="7"/>
        <v>ОТКРЫТО</v>
      </c>
      <c r="AW30" t="str">
        <f t="shared" si="8"/>
        <v>ОТКРЫТО</v>
      </c>
      <c r="AX30" t="str">
        <f t="shared" si="9"/>
        <v>ОТКРЫТО</v>
      </c>
      <c r="AY30" t="str">
        <f t="shared" si="10"/>
        <v>ОТКРЫТО</v>
      </c>
      <c r="AZ30" t="str">
        <f t="shared" si="11"/>
        <v>ОТКРЫТО</v>
      </c>
      <c r="BA30" t="str">
        <f t="shared" si="12"/>
        <v>ОТКРЫТО</v>
      </c>
      <c r="BB30" t="str">
        <f t="shared" si="13"/>
        <v>ОТКРЫТО</v>
      </c>
      <c r="BC30" t="str">
        <f t="shared" si="14"/>
        <v>ОТКРЫТО</v>
      </c>
      <c r="BD30" t="str">
        <f t="shared" si="15"/>
        <v>ОТКРЫТО</v>
      </c>
      <c r="BE30" t="str">
        <f t="shared" si="16"/>
        <v>ОТКРЫТО</v>
      </c>
      <c r="BF30" t="str">
        <f t="shared" si="17"/>
        <v>ОТКРЫТО</v>
      </c>
      <c r="BG30" t="str">
        <f t="shared" si="18"/>
        <v/>
      </c>
      <c r="BH30" t="str">
        <f t="shared" si="19"/>
        <v/>
      </c>
    </row>
    <row r="31" spans="1:60" ht="171">
      <c r="A31" s="3" t="s">
        <v>155</v>
      </c>
      <c r="B31" s="3" t="s">
        <v>147</v>
      </c>
      <c r="C31" s="3" t="s">
        <v>82</v>
      </c>
      <c r="D31" s="3" t="s">
        <v>156</v>
      </c>
      <c r="E31" s="3">
        <v>55</v>
      </c>
      <c r="F31" s="3" t="s">
        <v>151</v>
      </c>
      <c r="G31" s="3"/>
      <c r="H31" s="3"/>
      <c r="I31" s="3" t="s">
        <v>157</v>
      </c>
      <c r="J31" s="3" t="s">
        <v>158</v>
      </c>
      <c r="K31" s="4">
        <f>SUMIF('Ход 2026'!$G$29:$G$38,$A31,'Ход 2026'!$I$29:$I$38)*(1+'Эффекты технологий'!J$7+'Эффекты технологий'!J$9)</f>
        <v>0</v>
      </c>
      <c r="L31" s="4">
        <f>SUMIF('Ход 2027'!$G$29:$G$38,$A31,'Ход 2027'!$I$29:$I$38)*(1+'Эффекты технологий'!K$7+'Эффекты технологий'!K$9)</f>
        <v>0</v>
      </c>
      <c r="M31" s="4">
        <f>SUMIF('Ход 2028'!$G$29:$G$38,$A31,'Ход 2028'!$I$29:$I$38)*(1+'Эффекты технологий'!L$7+'Эффекты технологий'!L$9)</f>
        <v>0</v>
      </c>
      <c r="N31" s="4">
        <f>SUMIF('Ход 2029'!$G$29:$G$38,$A31,'Ход 2029'!$I$29:$I$38)*(1+'Эффекты технологий'!M$7+'Эффекты технологий'!M$9)</f>
        <v>0</v>
      </c>
      <c r="O31" s="4">
        <f>SUMIF('Ход 2030'!$G$29:$G$38,$A31,'Ход 2030'!$I$29:$I$38)*(1+'Эффекты технологий'!N$7+'Эффекты технологий'!N$9)</f>
        <v>0</v>
      </c>
      <c r="P31" s="4">
        <f>SUMIF('Ход 2031'!$G$29:$G$38,$A31,'Ход 2031'!$I$29:$I$38)*(1+'Эффекты технологий'!O$7+'Эффекты технологий'!O$9)</f>
        <v>0</v>
      </c>
      <c r="Q31" s="4">
        <f>SUMIF('Ход 2032'!$G$29:$G$38,$A31,'Ход 2032'!$I$29:$I$38)*(1+'Эффекты технологий'!P$7+'Эффекты технологий'!P$9)</f>
        <v>0</v>
      </c>
      <c r="R31" s="4">
        <f>SUMIF('Ход 2033'!$G$29:$G$38,$A31,'Ход 2033'!$I$29:$I$38)*(1+'Эффекты технологий'!Q$7+'Эффекты технологий'!Q$9)</f>
        <v>0</v>
      </c>
      <c r="S31" s="4">
        <f>SUMIF('Ход 2034'!$G$29:$G$38,$A31,'Ход 2034'!$I$29:$I$38)*(1+'Эффекты технологий'!R$7+'Эффекты технологий'!R$9)</f>
        <v>0</v>
      </c>
      <c r="T31" s="4">
        <f>SUMIF('Ход 2035'!$G$29:$G$38,$A31,'Ход 2035'!$I$29:$I$38)*(1+'Эффекты технологий'!S$7+'Эффекты технологий'!S$9)</f>
        <v>0</v>
      </c>
      <c r="U31" s="4">
        <f>SUMIF('Ход 2036'!$G$29:$G$38,$A31,'Ход 2036'!$I$29:$I$38)*(1+'Эффекты технологий'!T$7+'Эффекты технологий'!T$9)</f>
        <v>0</v>
      </c>
      <c r="V31" s="4">
        <f>SUMIF('Ход 2037'!$G$29:$G$38,$A31,'Ход 2037'!$I$29:$I$38)*(1+'Эффекты технологий'!U$7+'Эффекты технологий'!U$9)</f>
        <v>0</v>
      </c>
      <c r="W31" s="4">
        <f>SUMIF('Ход 2038'!$G$29:$G$38,$A31,'Ход 2038'!$I$29:$I$38)*(1+'Эффекты технологий'!V$7+'Эффекты технологий'!V$9)</f>
        <v>0</v>
      </c>
      <c r="X31" s="4">
        <f>SUMIF('Ход 2039'!$G$29:$G$38,$A31,'Ход 2039'!$I$29:$I$38)*(1+'Эффекты технологий'!W$7+'Эффекты технологий'!W$9)</f>
        <v>0</v>
      </c>
      <c r="Y31" s="4">
        <f>SUMIF('Ход 2040'!$G$29:$G$38,$A31,'Ход 2040'!$I$29:$I$38)*(1+'Эффекты технологий'!X$7+'Эффекты технологий'!X$9)</f>
        <v>0</v>
      </c>
      <c r="Z31" s="5">
        <f t="shared" si="0"/>
        <v>0</v>
      </c>
      <c r="AA31" s="5">
        <f t="shared" si="1"/>
        <v>55</v>
      </c>
      <c r="AB31" s="3" t="str">
        <f t="shared" si="2"/>
        <v>ОТКРЫТО</v>
      </c>
      <c r="AC31">
        <f>SUM($K31:K31)</f>
        <v>0</v>
      </c>
      <c r="AD31">
        <f>SUM($K31:L31)</f>
        <v>0</v>
      </c>
      <c r="AE31">
        <f>SUM($K31:M31)</f>
        <v>0</v>
      </c>
      <c r="AF31">
        <f>SUM($K31:N31)</f>
        <v>0</v>
      </c>
      <c r="AG31">
        <f>SUM($K31:O31)</f>
        <v>0</v>
      </c>
      <c r="AH31">
        <f>SUM($K31:P31)</f>
        <v>0</v>
      </c>
      <c r="AI31">
        <f>SUM($K31:Q31)</f>
        <v>0</v>
      </c>
      <c r="AJ31">
        <f>SUM($K31:R31)</f>
        <v>0</v>
      </c>
      <c r="AK31">
        <f>SUM($K31:S31)</f>
        <v>0</v>
      </c>
      <c r="AL31">
        <f>SUM($K31:T31)</f>
        <v>0</v>
      </c>
      <c r="AM31">
        <f>SUM($K31:U31)</f>
        <v>0</v>
      </c>
      <c r="AN31">
        <f>SUM($K31:V31)</f>
        <v>0</v>
      </c>
      <c r="AO31">
        <f>SUM($K31:W31)</f>
        <v>0</v>
      </c>
      <c r="AP31">
        <f>SUM($K31:X31)</f>
        <v>0</v>
      </c>
      <c r="AQ31">
        <f>SUM($K31:Y31)</f>
        <v>0</v>
      </c>
      <c r="AR31" t="str">
        <f t="shared" si="3"/>
        <v>ОТКРЫТО</v>
      </c>
      <c r="AS31" t="str">
        <f t="shared" si="4"/>
        <v>ОТКРЫТО</v>
      </c>
      <c r="AT31" t="str">
        <f t="shared" si="5"/>
        <v>ОТКРЫТО</v>
      </c>
      <c r="AU31" t="str">
        <f t="shared" si="6"/>
        <v>ОТКРЫТО</v>
      </c>
      <c r="AV31" t="str">
        <f t="shared" si="7"/>
        <v>ОТКРЫТО</v>
      </c>
      <c r="AW31" t="str">
        <f t="shared" si="8"/>
        <v>ОТКРЫТО</v>
      </c>
      <c r="AX31" t="str">
        <f t="shared" si="9"/>
        <v>ОТКРЫТО</v>
      </c>
      <c r="AY31" t="str">
        <f t="shared" si="10"/>
        <v>ОТКРЫТО</v>
      </c>
      <c r="AZ31" t="str">
        <f t="shared" si="11"/>
        <v>ОТКРЫТО</v>
      </c>
      <c r="BA31" t="str">
        <f t="shared" si="12"/>
        <v>ОТКРЫТО</v>
      </c>
      <c r="BB31" t="str">
        <f t="shared" si="13"/>
        <v>ОТКРЫТО</v>
      </c>
      <c r="BC31" t="str">
        <f t="shared" si="14"/>
        <v>ОТКРЫТО</v>
      </c>
      <c r="BD31" t="str">
        <f t="shared" si="15"/>
        <v>ОТКРЫТО</v>
      </c>
      <c r="BE31" t="str">
        <f t="shared" si="16"/>
        <v>ОТКРЫТО</v>
      </c>
      <c r="BF31" t="str">
        <f t="shared" si="17"/>
        <v>ОТКРЫТО</v>
      </c>
      <c r="BG31" t="str">
        <f t="shared" si="18"/>
        <v/>
      </c>
      <c r="BH31" t="str">
        <f t="shared" si="19"/>
        <v/>
      </c>
    </row>
    <row r="32" spans="1:60" ht="185.25">
      <c r="A32" s="3" t="s">
        <v>159</v>
      </c>
      <c r="B32" s="3" t="s">
        <v>147</v>
      </c>
      <c r="C32" s="3" t="s">
        <v>82</v>
      </c>
      <c r="D32" s="3" t="s">
        <v>160</v>
      </c>
      <c r="E32" s="3">
        <v>70</v>
      </c>
      <c r="F32" s="3" t="s">
        <v>155</v>
      </c>
      <c r="G32" s="3"/>
      <c r="H32" s="3"/>
      <c r="I32" s="3" t="s">
        <v>161</v>
      </c>
      <c r="J32" s="3" t="s">
        <v>162</v>
      </c>
      <c r="K32" s="4">
        <f>SUMIF('Ход 2026'!$G$29:$G$38,$A32,'Ход 2026'!$I$29:$I$38)*(1+'Эффекты технологий'!J$7+'Эффекты технологий'!J$9)</f>
        <v>10</v>
      </c>
      <c r="L32" s="4">
        <f>SUMIF('Ход 2027'!$G$29:$G$38,$A32,'Ход 2027'!$I$29:$I$38)*(1+'Эффекты технологий'!K$7+'Эффекты технологий'!K$9)</f>
        <v>0</v>
      </c>
      <c r="M32" s="4">
        <f>SUMIF('Ход 2028'!$G$29:$G$38,$A32,'Ход 2028'!$I$29:$I$38)*(1+'Эффекты технологий'!L$7+'Эффекты технологий'!L$9)</f>
        <v>0</v>
      </c>
      <c r="N32" s="4">
        <f>SUMIF('Ход 2029'!$G$29:$G$38,$A32,'Ход 2029'!$I$29:$I$38)*(1+'Эффекты технологий'!M$7+'Эффекты технологий'!M$9)</f>
        <v>0</v>
      </c>
      <c r="O32" s="4">
        <f>SUMIF('Ход 2030'!$G$29:$G$38,$A32,'Ход 2030'!$I$29:$I$38)*(1+'Эффекты технологий'!N$7+'Эффекты технологий'!N$9)</f>
        <v>0</v>
      </c>
      <c r="P32" s="4">
        <f>SUMIF('Ход 2031'!$G$29:$G$38,$A32,'Ход 2031'!$I$29:$I$38)*(1+'Эффекты технологий'!O$7+'Эффекты технологий'!O$9)</f>
        <v>0</v>
      </c>
      <c r="Q32" s="4">
        <f>SUMIF('Ход 2032'!$G$29:$G$38,$A32,'Ход 2032'!$I$29:$I$38)*(1+'Эффекты технологий'!P$7+'Эффекты технологий'!P$9)</f>
        <v>0</v>
      </c>
      <c r="R32" s="4">
        <f>SUMIF('Ход 2033'!$G$29:$G$38,$A32,'Ход 2033'!$I$29:$I$38)*(1+'Эффекты технологий'!Q$7+'Эффекты технологий'!Q$9)</f>
        <v>0</v>
      </c>
      <c r="S32" s="4">
        <f>SUMIF('Ход 2034'!$G$29:$G$38,$A32,'Ход 2034'!$I$29:$I$38)*(1+'Эффекты технологий'!R$7+'Эффекты технологий'!R$9)</f>
        <v>0</v>
      </c>
      <c r="T32" s="4">
        <f>SUMIF('Ход 2035'!$G$29:$G$38,$A32,'Ход 2035'!$I$29:$I$38)*(1+'Эффекты технологий'!S$7+'Эффекты технологий'!S$9)</f>
        <v>0</v>
      </c>
      <c r="U32" s="4">
        <f>SUMIF('Ход 2036'!$G$29:$G$38,$A32,'Ход 2036'!$I$29:$I$38)*(1+'Эффекты технологий'!T$7+'Эффекты технологий'!T$9)</f>
        <v>0</v>
      </c>
      <c r="V32" s="4">
        <f>SUMIF('Ход 2037'!$G$29:$G$38,$A32,'Ход 2037'!$I$29:$I$38)*(1+'Эффекты технологий'!U$7+'Эффекты технологий'!U$9)</f>
        <v>0</v>
      </c>
      <c r="W32" s="4">
        <f>SUMIF('Ход 2038'!$G$29:$G$38,$A32,'Ход 2038'!$I$29:$I$38)*(1+'Эффекты технологий'!V$7+'Эффекты технологий'!V$9)</f>
        <v>0</v>
      </c>
      <c r="X32" s="4">
        <f>SUMIF('Ход 2039'!$G$29:$G$38,$A32,'Ход 2039'!$I$29:$I$38)*(1+'Эффекты технологий'!W$7+'Эффекты технологий'!W$9)</f>
        <v>0</v>
      </c>
      <c r="Y32" s="4">
        <f>SUMIF('Ход 2040'!$G$29:$G$38,$A32,'Ход 2040'!$I$29:$I$38)*(1+'Эффекты технологий'!X$7+'Эффекты технологий'!X$9)</f>
        <v>0</v>
      </c>
      <c r="Z32" s="5">
        <f t="shared" si="0"/>
        <v>10</v>
      </c>
      <c r="AA32" s="5">
        <f t="shared" si="1"/>
        <v>60</v>
      </c>
      <c r="AB32" s="3" t="str">
        <f t="shared" si="2"/>
        <v>ОТКРЫТО</v>
      </c>
      <c r="AC32">
        <f>SUM($K32:K32)</f>
        <v>10</v>
      </c>
      <c r="AD32">
        <f>SUM($K32:L32)</f>
        <v>10</v>
      </c>
      <c r="AE32">
        <f>SUM($K32:M32)</f>
        <v>10</v>
      </c>
      <c r="AF32">
        <f>SUM($K32:N32)</f>
        <v>10</v>
      </c>
      <c r="AG32">
        <f>SUM($K32:O32)</f>
        <v>10</v>
      </c>
      <c r="AH32">
        <f>SUM($K32:P32)</f>
        <v>10</v>
      </c>
      <c r="AI32">
        <f>SUM($K32:Q32)</f>
        <v>10</v>
      </c>
      <c r="AJ32">
        <f>SUM($K32:R32)</f>
        <v>10</v>
      </c>
      <c r="AK32">
        <f>SUM($K32:S32)</f>
        <v>10</v>
      </c>
      <c r="AL32">
        <f>SUM($K32:T32)</f>
        <v>10</v>
      </c>
      <c r="AM32">
        <f>SUM($K32:U32)</f>
        <v>10</v>
      </c>
      <c r="AN32">
        <f>SUM($K32:V32)</f>
        <v>10</v>
      </c>
      <c r="AO32">
        <f>SUM($K32:W32)</f>
        <v>10</v>
      </c>
      <c r="AP32">
        <f>SUM($K32:X32)</f>
        <v>10</v>
      </c>
      <c r="AQ32">
        <f>SUM($K32:Y32)</f>
        <v>10</v>
      </c>
      <c r="AR32" t="str">
        <f t="shared" si="3"/>
        <v>ОТКРЫТО</v>
      </c>
      <c r="AS32" t="str">
        <f t="shared" si="4"/>
        <v>ОТКРЫТО</v>
      </c>
      <c r="AT32" t="str">
        <f t="shared" si="5"/>
        <v>ОТКРЫТО</v>
      </c>
      <c r="AU32" t="str">
        <f t="shared" si="6"/>
        <v>ОТКРЫТО</v>
      </c>
      <c r="AV32" t="str">
        <f t="shared" si="7"/>
        <v>ОТКРЫТО</v>
      </c>
      <c r="AW32" t="str">
        <f t="shared" si="8"/>
        <v>ОТКРЫТО</v>
      </c>
      <c r="AX32" t="str">
        <f t="shared" si="9"/>
        <v>ОТКРЫТО</v>
      </c>
      <c r="AY32" t="str">
        <f t="shared" si="10"/>
        <v>ОТКРЫТО</v>
      </c>
      <c r="AZ32" t="str">
        <f t="shared" si="11"/>
        <v>ОТКРЫТО</v>
      </c>
      <c r="BA32" t="str">
        <f t="shared" si="12"/>
        <v>ОТКРЫТО</v>
      </c>
      <c r="BB32" t="str">
        <f t="shared" si="13"/>
        <v>ОТКРЫТО</v>
      </c>
      <c r="BC32" t="str">
        <f t="shared" si="14"/>
        <v>ОТКРЫТО</v>
      </c>
      <c r="BD32" t="str">
        <f t="shared" si="15"/>
        <v>ОТКРЫТО</v>
      </c>
      <c r="BE32" t="str">
        <f t="shared" si="16"/>
        <v>ОТКРЫТО</v>
      </c>
      <c r="BF32" t="str">
        <f t="shared" si="17"/>
        <v>ОТКРЫТО</v>
      </c>
      <c r="BG32" t="str">
        <f t="shared" si="18"/>
        <v/>
      </c>
      <c r="BH32" t="str">
        <f t="shared" si="19"/>
        <v/>
      </c>
    </row>
    <row r="33" spans="1:60" ht="185.25">
      <c r="A33" s="3" t="s">
        <v>163</v>
      </c>
      <c r="B33" s="3" t="s">
        <v>147</v>
      </c>
      <c r="C33" s="3" t="s">
        <v>87</v>
      </c>
      <c r="D33" s="3" t="s">
        <v>164</v>
      </c>
      <c r="E33" s="3">
        <v>105</v>
      </c>
      <c r="F33" s="3" t="s">
        <v>159</v>
      </c>
      <c r="G33" s="3"/>
      <c r="H33" s="3"/>
      <c r="I33" s="3" t="s">
        <v>165</v>
      </c>
      <c r="J33" s="3" t="s">
        <v>166</v>
      </c>
      <c r="K33" s="4">
        <f>SUMIF('Ход 2026'!$G$29:$G$38,$A33,'Ход 2026'!$I$29:$I$38)*(1+'Эффекты технологий'!J$7+'Эффекты технологий'!J$9)</f>
        <v>0</v>
      </c>
      <c r="L33" s="4">
        <f>SUMIF('Ход 2027'!$G$29:$G$38,$A33,'Ход 2027'!$I$29:$I$38)*(1+'Эффекты технологий'!K$7+'Эффекты технологий'!K$9)</f>
        <v>0</v>
      </c>
      <c r="M33" s="4">
        <f>SUMIF('Ход 2028'!$G$29:$G$38,$A33,'Ход 2028'!$I$29:$I$38)*(1+'Эффекты технологий'!L$7+'Эффекты технологий'!L$9)</f>
        <v>0</v>
      </c>
      <c r="N33" s="4">
        <f>SUMIF('Ход 2029'!$G$29:$G$38,$A33,'Ход 2029'!$I$29:$I$38)*(1+'Эффекты технологий'!M$7+'Эффекты технологий'!M$9)</f>
        <v>0</v>
      </c>
      <c r="O33" s="4">
        <f>SUMIF('Ход 2030'!$G$29:$G$38,$A33,'Ход 2030'!$I$29:$I$38)*(1+'Эффекты технологий'!N$7+'Эффекты технологий'!N$9)</f>
        <v>0</v>
      </c>
      <c r="P33" s="4">
        <f>SUMIF('Ход 2031'!$G$29:$G$38,$A33,'Ход 2031'!$I$29:$I$38)*(1+'Эффекты технологий'!O$7+'Эффекты технологий'!O$9)</f>
        <v>0</v>
      </c>
      <c r="Q33" s="4">
        <f>SUMIF('Ход 2032'!$G$29:$G$38,$A33,'Ход 2032'!$I$29:$I$38)*(1+'Эффекты технологий'!P$7+'Эффекты технологий'!P$9)</f>
        <v>0</v>
      </c>
      <c r="R33" s="4">
        <f>SUMIF('Ход 2033'!$G$29:$G$38,$A33,'Ход 2033'!$I$29:$I$38)*(1+'Эффекты технологий'!Q$7+'Эффекты технологий'!Q$9)</f>
        <v>0</v>
      </c>
      <c r="S33" s="4">
        <f>SUMIF('Ход 2034'!$G$29:$G$38,$A33,'Ход 2034'!$I$29:$I$38)*(1+'Эффекты технологий'!R$7+'Эффекты технологий'!R$9)</f>
        <v>0</v>
      </c>
      <c r="T33" s="4">
        <f>SUMIF('Ход 2035'!$G$29:$G$38,$A33,'Ход 2035'!$I$29:$I$38)*(1+'Эффекты технологий'!S$7+'Эффекты технологий'!S$9)</f>
        <v>0</v>
      </c>
      <c r="U33" s="4">
        <f>SUMIF('Ход 2036'!$G$29:$G$38,$A33,'Ход 2036'!$I$29:$I$38)*(1+'Эффекты технологий'!T$7+'Эффекты технологий'!T$9)</f>
        <v>0</v>
      </c>
      <c r="V33" s="4">
        <f>SUMIF('Ход 2037'!$G$29:$G$38,$A33,'Ход 2037'!$I$29:$I$38)*(1+'Эффекты технологий'!U$7+'Эффекты технологий'!U$9)</f>
        <v>0</v>
      </c>
      <c r="W33" s="4">
        <f>SUMIF('Ход 2038'!$G$29:$G$38,$A33,'Ход 2038'!$I$29:$I$38)*(1+'Эффекты технологий'!V$7+'Эффекты технологий'!V$9)</f>
        <v>0</v>
      </c>
      <c r="X33" s="4">
        <f>SUMIF('Ход 2039'!$G$29:$G$38,$A33,'Ход 2039'!$I$29:$I$38)*(1+'Эффекты технологий'!W$7+'Эффекты технологий'!W$9)</f>
        <v>0</v>
      </c>
      <c r="Y33" s="4">
        <f>SUMIF('Ход 2040'!$G$29:$G$38,$A33,'Ход 2040'!$I$29:$I$38)*(1+'Эффекты технологий'!X$7+'Эффекты технологий'!X$9)</f>
        <v>0</v>
      </c>
      <c r="Z33" s="5">
        <f t="shared" si="0"/>
        <v>0</v>
      </c>
      <c r="AA33" s="5">
        <f t="shared" si="1"/>
        <v>105</v>
      </c>
      <c r="AB33" s="3" t="str">
        <f t="shared" si="2"/>
        <v>ОТКРЫТО</v>
      </c>
      <c r="AC33">
        <f>SUM($K33:K33)</f>
        <v>0</v>
      </c>
      <c r="AD33">
        <f>SUM($K33:L33)</f>
        <v>0</v>
      </c>
      <c r="AE33">
        <f>SUM($K33:M33)</f>
        <v>0</v>
      </c>
      <c r="AF33">
        <f>SUM($K33:N33)</f>
        <v>0</v>
      </c>
      <c r="AG33">
        <f>SUM($K33:O33)</f>
        <v>0</v>
      </c>
      <c r="AH33">
        <f>SUM($K33:P33)</f>
        <v>0</v>
      </c>
      <c r="AI33">
        <f>SUM($K33:Q33)</f>
        <v>0</v>
      </c>
      <c r="AJ33">
        <f>SUM($K33:R33)</f>
        <v>0</v>
      </c>
      <c r="AK33">
        <f>SUM($K33:S33)</f>
        <v>0</v>
      </c>
      <c r="AL33">
        <f>SUM($K33:T33)</f>
        <v>0</v>
      </c>
      <c r="AM33">
        <f>SUM($K33:U33)</f>
        <v>0</v>
      </c>
      <c r="AN33">
        <f>SUM($K33:V33)</f>
        <v>0</v>
      </c>
      <c r="AO33">
        <f>SUM($K33:W33)</f>
        <v>0</v>
      </c>
      <c r="AP33">
        <f>SUM($K33:X33)</f>
        <v>0</v>
      </c>
      <c r="AQ33">
        <f>SUM($K33:Y33)</f>
        <v>0</v>
      </c>
      <c r="AR33" t="str">
        <f t="shared" si="3"/>
        <v>ОТКРЫТО</v>
      </c>
      <c r="AS33" t="str">
        <f t="shared" si="4"/>
        <v>ОТКРЫТО</v>
      </c>
      <c r="AT33" t="str">
        <f t="shared" si="5"/>
        <v>ОТКРЫТО</v>
      </c>
      <c r="AU33" t="str">
        <f t="shared" si="6"/>
        <v>ОТКРЫТО</v>
      </c>
      <c r="AV33" t="str">
        <f t="shared" si="7"/>
        <v>ОТКРЫТО</v>
      </c>
      <c r="AW33" t="str">
        <f t="shared" si="8"/>
        <v>ОТКРЫТО</v>
      </c>
      <c r="AX33" t="str">
        <f t="shared" si="9"/>
        <v>ОТКРЫТО</v>
      </c>
      <c r="AY33" t="str">
        <f t="shared" si="10"/>
        <v>ОТКРЫТО</v>
      </c>
      <c r="AZ33" t="str">
        <f t="shared" si="11"/>
        <v>ОТКРЫТО</v>
      </c>
      <c r="BA33" t="str">
        <f t="shared" si="12"/>
        <v>ОТКРЫТО</v>
      </c>
      <c r="BB33" t="str">
        <f t="shared" si="13"/>
        <v>ОТКРЫТО</v>
      </c>
      <c r="BC33" t="str">
        <f t="shared" si="14"/>
        <v>ОТКРЫТО</v>
      </c>
      <c r="BD33" t="str">
        <f t="shared" si="15"/>
        <v>ОТКРЫТО</v>
      </c>
      <c r="BE33" t="str">
        <f t="shared" si="16"/>
        <v>ОТКРЫТО</v>
      </c>
      <c r="BF33" t="str">
        <f t="shared" si="17"/>
        <v>ОТКРЫТО</v>
      </c>
      <c r="BG33" t="str">
        <f t="shared" si="18"/>
        <v/>
      </c>
      <c r="BH33" t="str">
        <f t="shared" si="19"/>
        <v/>
      </c>
    </row>
    <row r="34" spans="1:60" ht="185.25">
      <c r="A34" s="3" t="s">
        <v>167</v>
      </c>
      <c r="B34" s="3" t="s">
        <v>147</v>
      </c>
      <c r="C34" s="3" t="s">
        <v>92</v>
      </c>
      <c r="D34" s="3" t="s">
        <v>168</v>
      </c>
      <c r="E34" s="3">
        <v>155</v>
      </c>
      <c r="F34" s="3" t="s">
        <v>163</v>
      </c>
      <c r="G34" s="3"/>
      <c r="H34" s="3"/>
      <c r="I34" s="3" t="s">
        <v>169</v>
      </c>
      <c r="J34" s="3" t="s">
        <v>170</v>
      </c>
      <c r="K34" s="4">
        <f>SUMIF('Ход 2026'!$G$29:$G$38,$A34,'Ход 2026'!$I$29:$I$38)*(1+'Эффекты технологий'!J$7+'Эффекты технологий'!J$9)</f>
        <v>0</v>
      </c>
      <c r="L34" s="4">
        <f>SUMIF('Ход 2027'!$G$29:$G$38,$A34,'Ход 2027'!$I$29:$I$38)*(1+'Эффекты технологий'!K$7+'Эффекты технологий'!K$9)</f>
        <v>0</v>
      </c>
      <c r="M34" s="4">
        <f>SUMIF('Ход 2028'!$G$29:$G$38,$A34,'Ход 2028'!$I$29:$I$38)*(1+'Эффекты технологий'!L$7+'Эффекты технологий'!L$9)</f>
        <v>0</v>
      </c>
      <c r="N34" s="4">
        <f>SUMIF('Ход 2029'!$G$29:$G$38,$A34,'Ход 2029'!$I$29:$I$38)*(1+'Эффекты технологий'!M$7+'Эффекты технологий'!M$9)</f>
        <v>0</v>
      </c>
      <c r="O34" s="4">
        <f>SUMIF('Ход 2030'!$G$29:$G$38,$A34,'Ход 2030'!$I$29:$I$38)*(1+'Эффекты технологий'!N$7+'Эффекты технологий'!N$9)</f>
        <v>0</v>
      </c>
      <c r="P34" s="4">
        <f>SUMIF('Ход 2031'!$G$29:$G$38,$A34,'Ход 2031'!$I$29:$I$38)*(1+'Эффекты технологий'!O$7+'Эффекты технологий'!O$9)</f>
        <v>0</v>
      </c>
      <c r="Q34" s="4">
        <f>SUMIF('Ход 2032'!$G$29:$G$38,$A34,'Ход 2032'!$I$29:$I$38)*(1+'Эффекты технологий'!P$7+'Эффекты технологий'!P$9)</f>
        <v>0</v>
      </c>
      <c r="R34" s="4">
        <f>SUMIF('Ход 2033'!$G$29:$G$38,$A34,'Ход 2033'!$I$29:$I$38)*(1+'Эффекты технологий'!Q$7+'Эффекты технологий'!Q$9)</f>
        <v>0</v>
      </c>
      <c r="S34" s="4">
        <f>SUMIF('Ход 2034'!$G$29:$G$38,$A34,'Ход 2034'!$I$29:$I$38)*(1+'Эффекты технологий'!R$7+'Эффекты технологий'!R$9)</f>
        <v>0</v>
      </c>
      <c r="T34" s="4">
        <f>SUMIF('Ход 2035'!$G$29:$G$38,$A34,'Ход 2035'!$I$29:$I$38)*(1+'Эффекты технологий'!S$7+'Эффекты технологий'!S$9)</f>
        <v>0</v>
      </c>
      <c r="U34" s="4">
        <f>SUMIF('Ход 2036'!$G$29:$G$38,$A34,'Ход 2036'!$I$29:$I$38)*(1+'Эффекты технологий'!T$7+'Эффекты технологий'!T$9)</f>
        <v>0</v>
      </c>
      <c r="V34" s="4">
        <f>SUMIF('Ход 2037'!$G$29:$G$38,$A34,'Ход 2037'!$I$29:$I$38)*(1+'Эффекты технологий'!U$7+'Эффекты технологий'!U$9)</f>
        <v>0</v>
      </c>
      <c r="W34" s="4">
        <f>SUMIF('Ход 2038'!$G$29:$G$38,$A34,'Ход 2038'!$I$29:$I$38)*(1+'Эффекты технологий'!V$7+'Эффекты технологий'!V$9)</f>
        <v>0</v>
      </c>
      <c r="X34" s="4">
        <f>SUMIF('Ход 2039'!$G$29:$G$38,$A34,'Ход 2039'!$I$29:$I$38)*(1+'Эффекты технологий'!W$7+'Эффекты технологий'!W$9)</f>
        <v>0</v>
      </c>
      <c r="Y34" s="4">
        <f>SUMIF('Ход 2040'!$G$29:$G$38,$A34,'Ход 2040'!$I$29:$I$38)*(1+'Эффекты технологий'!X$7+'Эффекты технологий'!X$9)</f>
        <v>0</v>
      </c>
      <c r="Z34" s="5">
        <f t="shared" si="0"/>
        <v>0</v>
      </c>
      <c r="AA34" s="5">
        <f t="shared" si="1"/>
        <v>155</v>
      </c>
      <c r="AB34" s="3" t="str">
        <f t="shared" si="2"/>
        <v>ОТКРЫТО</v>
      </c>
      <c r="AC34">
        <f>SUM($K34:K34)</f>
        <v>0</v>
      </c>
      <c r="AD34">
        <f>SUM($K34:L34)</f>
        <v>0</v>
      </c>
      <c r="AE34">
        <f>SUM($K34:M34)</f>
        <v>0</v>
      </c>
      <c r="AF34">
        <f>SUM($K34:N34)</f>
        <v>0</v>
      </c>
      <c r="AG34">
        <f>SUM($K34:O34)</f>
        <v>0</v>
      </c>
      <c r="AH34">
        <f>SUM($K34:P34)</f>
        <v>0</v>
      </c>
      <c r="AI34">
        <f>SUM($K34:Q34)</f>
        <v>0</v>
      </c>
      <c r="AJ34">
        <f>SUM($K34:R34)</f>
        <v>0</v>
      </c>
      <c r="AK34">
        <f>SUM($K34:S34)</f>
        <v>0</v>
      </c>
      <c r="AL34">
        <f>SUM($K34:T34)</f>
        <v>0</v>
      </c>
      <c r="AM34">
        <f>SUM($K34:U34)</f>
        <v>0</v>
      </c>
      <c r="AN34">
        <f>SUM($K34:V34)</f>
        <v>0</v>
      </c>
      <c r="AO34">
        <f>SUM($K34:W34)</f>
        <v>0</v>
      </c>
      <c r="AP34">
        <f>SUM($K34:X34)</f>
        <v>0</v>
      </c>
      <c r="AQ34">
        <f>SUM($K34:Y34)</f>
        <v>0</v>
      </c>
      <c r="AR34" t="str">
        <f t="shared" si="3"/>
        <v>ОТКРЫТО</v>
      </c>
      <c r="AS34" t="str">
        <f t="shared" si="4"/>
        <v>ОТКРЫТО</v>
      </c>
      <c r="AT34" t="str">
        <f t="shared" si="5"/>
        <v>ОТКРЫТО</v>
      </c>
      <c r="AU34" t="str">
        <f t="shared" si="6"/>
        <v>ОТКРЫТО</v>
      </c>
      <c r="AV34" t="str">
        <f t="shared" si="7"/>
        <v>ОТКРЫТО</v>
      </c>
      <c r="AW34" t="str">
        <f t="shared" si="8"/>
        <v>ОТКРЫТО</v>
      </c>
      <c r="AX34" t="str">
        <f t="shared" si="9"/>
        <v>ОТКРЫТО</v>
      </c>
      <c r="AY34" t="str">
        <f t="shared" si="10"/>
        <v>ОТКРЫТО</v>
      </c>
      <c r="AZ34" t="str">
        <f t="shared" si="11"/>
        <v>ОТКРЫТО</v>
      </c>
      <c r="BA34" t="str">
        <f t="shared" si="12"/>
        <v>ОТКРЫТО</v>
      </c>
      <c r="BB34" t="str">
        <f t="shared" si="13"/>
        <v>ОТКРЫТО</v>
      </c>
      <c r="BC34" t="str">
        <f t="shared" si="14"/>
        <v>ОТКРЫТО</v>
      </c>
      <c r="BD34" t="str">
        <f t="shared" si="15"/>
        <v>ОТКРЫТО</v>
      </c>
      <c r="BE34" t="str">
        <f t="shared" si="16"/>
        <v>ОТКРЫТО</v>
      </c>
      <c r="BF34" t="str">
        <f t="shared" si="17"/>
        <v>ОТКРЫТО</v>
      </c>
      <c r="BG34" t="str">
        <f t="shared" si="18"/>
        <v/>
      </c>
      <c r="BH34" t="str">
        <f t="shared" si="19"/>
        <v/>
      </c>
    </row>
    <row r="35" spans="1:60" ht="185.25">
      <c r="A35" s="3" t="s">
        <v>171</v>
      </c>
      <c r="B35" s="3" t="s">
        <v>172</v>
      </c>
      <c r="C35" s="3" t="s">
        <v>68</v>
      </c>
      <c r="D35" s="3" t="s">
        <v>173</v>
      </c>
      <c r="E35" s="3">
        <v>20</v>
      </c>
      <c r="F35" s="3"/>
      <c r="G35" s="3"/>
      <c r="H35" s="3"/>
      <c r="I35" s="3" t="s">
        <v>174</v>
      </c>
      <c r="J35" s="3" t="s">
        <v>175</v>
      </c>
      <c r="K35" s="4">
        <f>SUMIF('Ход 2026'!$G$29:$G$38,$A35,'Ход 2026'!$I$29:$I$38)*(1+'Эффекты технологий'!J$7)</f>
        <v>0</v>
      </c>
      <c r="L35" s="4">
        <f>SUMIF('Ход 2027'!$G$29:$G$38,$A35,'Ход 2027'!$I$29:$I$38)*(1+'Эффекты технологий'!K$7)</f>
        <v>0</v>
      </c>
      <c r="M35" s="4">
        <f>SUMIF('Ход 2028'!$G$29:$G$38,$A35,'Ход 2028'!$I$29:$I$38)*(1+'Эффекты технологий'!L$7)</f>
        <v>0</v>
      </c>
      <c r="N35" s="4">
        <f>SUMIF('Ход 2029'!$G$29:$G$38,$A35,'Ход 2029'!$I$29:$I$38)*(1+'Эффекты технологий'!M$7)</f>
        <v>0</v>
      </c>
      <c r="O35" s="4">
        <f>SUMIF('Ход 2030'!$G$29:$G$38,$A35,'Ход 2030'!$I$29:$I$38)*(1+'Эффекты технологий'!N$7)</f>
        <v>0</v>
      </c>
      <c r="P35" s="4">
        <f>SUMIF('Ход 2031'!$G$29:$G$38,$A35,'Ход 2031'!$I$29:$I$38)*(1+'Эффекты технологий'!O$7)</f>
        <v>0</v>
      </c>
      <c r="Q35" s="4">
        <f>SUMIF('Ход 2032'!$G$29:$G$38,$A35,'Ход 2032'!$I$29:$I$38)*(1+'Эффекты технологий'!P$7)</f>
        <v>0</v>
      </c>
      <c r="R35" s="4">
        <f>SUMIF('Ход 2033'!$G$29:$G$38,$A35,'Ход 2033'!$I$29:$I$38)*(1+'Эффекты технологий'!Q$7)</f>
        <v>0</v>
      </c>
      <c r="S35" s="4">
        <f>SUMIF('Ход 2034'!$G$29:$G$38,$A35,'Ход 2034'!$I$29:$I$38)*(1+'Эффекты технологий'!R$7)</f>
        <v>0</v>
      </c>
      <c r="T35" s="4">
        <f>SUMIF('Ход 2035'!$G$29:$G$38,$A35,'Ход 2035'!$I$29:$I$38)*(1+'Эффекты технологий'!S$7)</f>
        <v>0</v>
      </c>
      <c r="U35" s="4">
        <f>SUMIF('Ход 2036'!$G$29:$G$38,$A35,'Ход 2036'!$I$29:$I$38)*(1+'Эффекты технологий'!T$7)</f>
        <v>0</v>
      </c>
      <c r="V35" s="4">
        <f>SUMIF('Ход 2037'!$G$29:$G$38,$A35,'Ход 2037'!$I$29:$I$38)*(1+'Эффекты технологий'!U$7)</f>
        <v>0</v>
      </c>
      <c r="W35" s="4">
        <f>SUMIF('Ход 2038'!$G$29:$G$38,$A35,'Ход 2038'!$I$29:$I$38)*(1+'Эффекты технологий'!V$7)</f>
        <v>0</v>
      </c>
      <c r="X35" s="4">
        <f>SUMIF('Ход 2039'!$G$29:$G$38,$A35,'Ход 2039'!$I$29:$I$38)*(1+'Эффекты технологий'!W$7)</f>
        <v>0</v>
      </c>
      <c r="Y35" s="4">
        <f>SUMIF('Ход 2040'!$G$29:$G$38,$A35,'Ход 2040'!$I$29:$I$38)*(1+'Эффекты технологий'!X$7)</f>
        <v>0</v>
      </c>
      <c r="Z35" s="5">
        <f t="shared" si="0"/>
        <v>0</v>
      </c>
      <c r="AA35" s="5">
        <f t="shared" si="1"/>
        <v>20</v>
      </c>
      <c r="AB35" s="3" t="str">
        <f t="shared" si="2"/>
        <v>ОТКРЫТО</v>
      </c>
      <c r="AC35">
        <f>SUM($K35:K35)</f>
        <v>0</v>
      </c>
      <c r="AD35">
        <f>SUM($K35:L35)</f>
        <v>0</v>
      </c>
      <c r="AE35">
        <f>SUM($K35:M35)</f>
        <v>0</v>
      </c>
      <c r="AF35">
        <f>SUM($K35:N35)</f>
        <v>0</v>
      </c>
      <c r="AG35">
        <f>SUM($K35:O35)</f>
        <v>0</v>
      </c>
      <c r="AH35">
        <f>SUM($K35:P35)</f>
        <v>0</v>
      </c>
      <c r="AI35">
        <f>SUM($K35:Q35)</f>
        <v>0</v>
      </c>
      <c r="AJ35">
        <f>SUM($K35:R35)</f>
        <v>0</v>
      </c>
      <c r="AK35">
        <f>SUM($K35:S35)</f>
        <v>0</v>
      </c>
      <c r="AL35">
        <f>SUM($K35:T35)</f>
        <v>0</v>
      </c>
      <c r="AM35">
        <f>SUM($K35:U35)</f>
        <v>0</v>
      </c>
      <c r="AN35">
        <f>SUM($K35:V35)</f>
        <v>0</v>
      </c>
      <c r="AO35">
        <f>SUM($K35:W35)</f>
        <v>0</v>
      </c>
      <c r="AP35">
        <f>SUM($K35:X35)</f>
        <v>0</v>
      </c>
      <c r="AQ35">
        <f>SUM($K35:Y35)</f>
        <v>0</v>
      </c>
      <c r="AR35" t="str">
        <f t="shared" si="3"/>
        <v>ОТКРЫТО</v>
      </c>
      <c r="AS35" t="str">
        <f t="shared" si="4"/>
        <v>ОТКРЫТО</v>
      </c>
      <c r="AT35" t="str">
        <f t="shared" si="5"/>
        <v>ОТКРЫТО</v>
      </c>
      <c r="AU35" t="str">
        <f t="shared" si="6"/>
        <v>ОТКРЫТО</v>
      </c>
      <c r="AV35" t="str">
        <f t="shared" si="7"/>
        <v>ОТКРЫТО</v>
      </c>
      <c r="AW35" t="str">
        <f t="shared" si="8"/>
        <v>ОТКРЫТО</v>
      </c>
      <c r="AX35" t="str">
        <f t="shared" si="9"/>
        <v>ОТКРЫТО</v>
      </c>
      <c r="AY35" t="str">
        <f t="shared" si="10"/>
        <v>ОТКРЫТО</v>
      </c>
      <c r="AZ35" t="str">
        <f t="shared" si="11"/>
        <v>ОТКРЫТО</v>
      </c>
      <c r="BA35" t="str">
        <f t="shared" si="12"/>
        <v>ОТКРЫТО</v>
      </c>
      <c r="BB35" t="str">
        <f t="shared" si="13"/>
        <v>ОТКРЫТО</v>
      </c>
      <c r="BC35" t="str">
        <f t="shared" si="14"/>
        <v>ОТКРЫТО</v>
      </c>
      <c r="BD35" t="str">
        <f t="shared" si="15"/>
        <v>ОТКРЫТО</v>
      </c>
      <c r="BE35" t="str">
        <f t="shared" si="16"/>
        <v>ОТКРЫТО</v>
      </c>
      <c r="BF35" t="str">
        <f t="shared" si="17"/>
        <v>ОТКРЫТО</v>
      </c>
      <c r="BG35" t="str">
        <f t="shared" si="18"/>
        <v/>
      </c>
      <c r="BH35" t="str">
        <f t="shared" si="19"/>
        <v/>
      </c>
    </row>
    <row r="36" spans="1:60" ht="171">
      <c r="A36" s="3" t="s">
        <v>176</v>
      </c>
      <c r="B36" s="3" t="s">
        <v>172</v>
      </c>
      <c r="C36" s="3" t="s">
        <v>73</v>
      </c>
      <c r="D36" s="3" t="s">
        <v>177</v>
      </c>
      <c r="E36" s="3">
        <v>40</v>
      </c>
      <c r="F36" s="3" t="s">
        <v>171</v>
      </c>
      <c r="G36" s="3"/>
      <c r="H36" s="3"/>
      <c r="I36" s="3" t="s">
        <v>178</v>
      </c>
      <c r="J36" s="3" t="s">
        <v>179</v>
      </c>
      <c r="K36" s="4">
        <f>SUMIF('Ход 2026'!$G$29:$G$38,$A36,'Ход 2026'!$I$29:$I$38)*(1+'Эффекты технологий'!J$7)</f>
        <v>0</v>
      </c>
      <c r="L36" s="4">
        <f>SUMIF('Ход 2027'!$G$29:$G$38,$A36,'Ход 2027'!$I$29:$I$38)*(1+'Эффекты технологий'!K$7)</f>
        <v>0</v>
      </c>
      <c r="M36" s="4">
        <f>SUMIF('Ход 2028'!$G$29:$G$38,$A36,'Ход 2028'!$I$29:$I$38)*(1+'Эффекты технологий'!L$7)</f>
        <v>0</v>
      </c>
      <c r="N36" s="4">
        <f>SUMIF('Ход 2029'!$G$29:$G$38,$A36,'Ход 2029'!$I$29:$I$38)*(1+'Эффекты технологий'!M$7)</f>
        <v>0</v>
      </c>
      <c r="O36" s="4">
        <f>SUMIF('Ход 2030'!$G$29:$G$38,$A36,'Ход 2030'!$I$29:$I$38)*(1+'Эффекты технологий'!N$7)</f>
        <v>0</v>
      </c>
      <c r="P36" s="4">
        <f>SUMIF('Ход 2031'!$G$29:$G$38,$A36,'Ход 2031'!$I$29:$I$38)*(1+'Эффекты технологий'!O$7)</f>
        <v>0</v>
      </c>
      <c r="Q36" s="4">
        <f>SUMIF('Ход 2032'!$G$29:$G$38,$A36,'Ход 2032'!$I$29:$I$38)*(1+'Эффекты технологий'!P$7)</f>
        <v>0</v>
      </c>
      <c r="R36" s="4">
        <f>SUMIF('Ход 2033'!$G$29:$G$38,$A36,'Ход 2033'!$I$29:$I$38)*(1+'Эффекты технологий'!Q$7)</f>
        <v>0</v>
      </c>
      <c r="S36" s="4">
        <f>SUMIF('Ход 2034'!$G$29:$G$38,$A36,'Ход 2034'!$I$29:$I$38)*(1+'Эффекты технологий'!R$7)</f>
        <v>0</v>
      </c>
      <c r="T36" s="4">
        <f>SUMIF('Ход 2035'!$G$29:$G$38,$A36,'Ход 2035'!$I$29:$I$38)*(1+'Эффекты технологий'!S$7)</f>
        <v>0</v>
      </c>
      <c r="U36" s="4">
        <f>SUMIF('Ход 2036'!$G$29:$G$38,$A36,'Ход 2036'!$I$29:$I$38)*(1+'Эффекты технологий'!T$7)</f>
        <v>0</v>
      </c>
      <c r="V36" s="4">
        <f>SUMIF('Ход 2037'!$G$29:$G$38,$A36,'Ход 2037'!$I$29:$I$38)*(1+'Эффекты технологий'!U$7)</f>
        <v>0</v>
      </c>
      <c r="W36" s="4">
        <f>SUMIF('Ход 2038'!$G$29:$G$38,$A36,'Ход 2038'!$I$29:$I$38)*(1+'Эффекты технологий'!V$7)</f>
        <v>0</v>
      </c>
      <c r="X36" s="4">
        <f>SUMIF('Ход 2039'!$G$29:$G$38,$A36,'Ход 2039'!$I$29:$I$38)*(1+'Эффекты технологий'!W$7)</f>
        <v>0</v>
      </c>
      <c r="Y36" s="4">
        <f>SUMIF('Ход 2040'!$G$29:$G$38,$A36,'Ход 2040'!$I$29:$I$38)*(1+'Эффекты технологий'!X$7)</f>
        <v>0</v>
      </c>
      <c r="Z36" s="5">
        <f t="shared" si="0"/>
        <v>0</v>
      </c>
      <c r="AA36" s="5">
        <f t="shared" si="1"/>
        <v>40</v>
      </c>
      <c r="AB36" s="3" t="str">
        <f t="shared" si="2"/>
        <v>ОТКРЫТО</v>
      </c>
      <c r="AC36">
        <f>SUM($K36:K36)</f>
        <v>0</v>
      </c>
      <c r="AD36">
        <f>SUM($K36:L36)</f>
        <v>0</v>
      </c>
      <c r="AE36">
        <f>SUM($K36:M36)</f>
        <v>0</v>
      </c>
      <c r="AF36">
        <f>SUM($K36:N36)</f>
        <v>0</v>
      </c>
      <c r="AG36">
        <f>SUM($K36:O36)</f>
        <v>0</v>
      </c>
      <c r="AH36">
        <f>SUM($K36:P36)</f>
        <v>0</v>
      </c>
      <c r="AI36">
        <f>SUM($K36:Q36)</f>
        <v>0</v>
      </c>
      <c r="AJ36">
        <f>SUM($K36:R36)</f>
        <v>0</v>
      </c>
      <c r="AK36">
        <f>SUM($K36:S36)</f>
        <v>0</v>
      </c>
      <c r="AL36">
        <f>SUM($K36:T36)</f>
        <v>0</v>
      </c>
      <c r="AM36">
        <f>SUM($K36:U36)</f>
        <v>0</v>
      </c>
      <c r="AN36">
        <f>SUM($K36:V36)</f>
        <v>0</v>
      </c>
      <c r="AO36">
        <f>SUM($K36:W36)</f>
        <v>0</v>
      </c>
      <c r="AP36">
        <f>SUM($K36:X36)</f>
        <v>0</v>
      </c>
      <c r="AQ36">
        <f>SUM($K36:Y36)</f>
        <v>0</v>
      </c>
      <c r="AR36" t="str">
        <f t="shared" si="3"/>
        <v>ОТКРЫТО</v>
      </c>
      <c r="AS36" t="str">
        <f t="shared" si="4"/>
        <v>ОТКРЫТО</v>
      </c>
      <c r="AT36" t="str">
        <f t="shared" si="5"/>
        <v>ОТКРЫТО</v>
      </c>
      <c r="AU36" t="str">
        <f t="shared" si="6"/>
        <v>ОТКРЫТО</v>
      </c>
      <c r="AV36" t="str">
        <f t="shared" si="7"/>
        <v>ОТКРЫТО</v>
      </c>
      <c r="AW36" t="str">
        <f t="shared" si="8"/>
        <v>ОТКРЫТО</v>
      </c>
      <c r="AX36" t="str">
        <f t="shared" si="9"/>
        <v>ОТКРЫТО</v>
      </c>
      <c r="AY36" t="str">
        <f t="shared" si="10"/>
        <v>ОТКРЫТО</v>
      </c>
      <c r="AZ36" t="str">
        <f t="shared" si="11"/>
        <v>ОТКРЫТО</v>
      </c>
      <c r="BA36" t="str">
        <f t="shared" si="12"/>
        <v>ОТКРЫТО</v>
      </c>
      <c r="BB36" t="str">
        <f t="shared" si="13"/>
        <v>ОТКРЫТО</v>
      </c>
      <c r="BC36" t="str">
        <f t="shared" si="14"/>
        <v>ОТКРЫТО</v>
      </c>
      <c r="BD36" t="str">
        <f t="shared" si="15"/>
        <v>ОТКРЫТО</v>
      </c>
      <c r="BE36" t="str">
        <f t="shared" si="16"/>
        <v>ОТКРЫТО</v>
      </c>
      <c r="BF36" t="str">
        <f t="shared" si="17"/>
        <v>ОТКРЫТО</v>
      </c>
      <c r="BG36" t="str">
        <f t="shared" si="18"/>
        <v/>
      </c>
      <c r="BH36" t="str">
        <f t="shared" si="19"/>
        <v/>
      </c>
    </row>
    <row r="37" spans="1:60" ht="185.25">
      <c r="A37" s="3" t="s">
        <v>180</v>
      </c>
      <c r="B37" s="3" t="s">
        <v>172</v>
      </c>
      <c r="C37" s="3" t="s">
        <v>73</v>
      </c>
      <c r="D37" s="3" t="s">
        <v>181</v>
      </c>
      <c r="E37" s="3">
        <v>45</v>
      </c>
      <c r="F37" s="3" t="s">
        <v>171</v>
      </c>
      <c r="G37" s="3"/>
      <c r="H37" s="3"/>
      <c r="I37" s="3" t="s">
        <v>182</v>
      </c>
      <c r="J37" s="3" t="s">
        <v>183</v>
      </c>
      <c r="K37" s="4">
        <f>SUMIF('Ход 2026'!$G$29:$G$38,$A37,'Ход 2026'!$I$29:$I$38)*(1+'Эффекты технологий'!J$7)</f>
        <v>10</v>
      </c>
      <c r="L37" s="4">
        <f>SUMIF('Ход 2027'!$G$29:$G$38,$A37,'Ход 2027'!$I$29:$I$38)*(1+'Эффекты технологий'!K$7)</f>
        <v>0</v>
      </c>
      <c r="M37" s="4">
        <f>SUMIF('Ход 2028'!$G$29:$G$38,$A37,'Ход 2028'!$I$29:$I$38)*(1+'Эффекты технологий'!L$7)</f>
        <v>0</v>
      </c>
      <c r="N37" s="4">
        <f>SUMIF('Ход 2029'!$G$29:$G$38,$A37,'Ход 2029'!$I$29:$I$38)*(1+'Эффекты технологий'!M$7)</f>
        <v>0</v>
      </c>
      <c r="O37" s="4">
        <f>SUMIF('Ход 2030'!$G$29:$G$38,$A37,'Ход 2030'!$I$29:$I$38)*(1+'Эффекты технологий'!N$7)</f>
        <v>0</v>
      </c>
      <c r="P37" s="4">
        <f>SUMIF('Ход 2031'!$G$29:$G$38,$A37,'Ход 2031'!$I$29:$I$38)*(1+'Эффекты технологий'!O$7)</f>
        <v>0</v>
      </c>
      <c r="Q37" s="4">
        <f>SUMIF('Ход 2032'!$G$29:$G$38,$A37,'Ход 2032'!$I$29:$I$38)*(1+'Эффекты технологий'!P$7)</f>
        <v>0</v>
      </c>
      <c r="R37" s="4">
        <f>SUMIF('Ход 2033'!$G$29:$G$38,$A37,'Ход 2033'!$I$29:$I$38)*(1+'Эффекты технологий'!Q$7)</f>
        <v>0</v>
      </c>
      <c r="S37" s="4">
        <f>SUMIF('Ход 2034'!$G$29:$G$38,$A37,'Ход 2034'!$I$29:$I$38)*(1+'Эффекты технологий'!R$7)</f>
        <v>0</v>
      </c>
      <c r="T37" s="4">
        <f>SUMIF('Ход 2035'!$G$29:$G$38,$A37,'Ход 2035'!$I$29:$I$38)*(1+'Эффекты технологий'!S$7)</f>
        <v>0</v>
      </c>
      <c r="U37" s="4">
        <f>SUMIF('Ход 2036'!$G$29:$G$38,$A37,'Ход 2036'!$I$29:$I$38)*(1+'Эффекты технологий'!T$7)</f>
        <v>0</v>
      </c>
      <c r="V37" s="4">
        <f>SUMIF('Ход 2037'!$G$29:$G$38,$A37,'Ход 2037'!$I$29:$I$38)*(1+'Эффекты технологий'!U$7)</f>
        <v>0</v>
      </c>
      <c r="W37" s="4">
        <f>SUMIF('Ход 2038'!$G$29:$G$38,$A37,'Ход 2038'!$I$29:$I$38)*(1+'Эффекты технологий'!V$7)</f>
        <v>0</v>
      </c>
      <c r="X37" s="4">
        <f>SUMIF('Ход 2039'!$G$29:$G$38,$A37,'Ход 2039'!$I$29:$I$38)*(1+'Эффекты технологий'!W$7)</f>
        <v>0</v>
      </c>
      <c r="Y37" s="4">
        <f>SUMIF('Ход 2040'!$G$29:$G$38,$A37,'Ход 2040'!$I$29:$I$38)*(1+'Эффекты технологий'!X$7)</f>
        <v>0</v>
      </c>
      <c r="Z37" s="5">
        <f t="shared" si="0"/>
        <v>10</v>
      </c>
      <c r="AA37" s="5">
        <f t="shared" si="1"/>
        <v>35</v>
      </c>
      <c r="AB37" s="3" t="str">
        <f t="shared" si="2"/>
        <v>ОТКРЫТО</v>
      </c>
      <c r="AC37">
        <f>SUM($K37:K37)</f>
        <v>10</v>
      </c>
      <c r="AD37">
        <f>SUM($K37:L37)</f>
        <v>10</v>
      </c>
      <c r="AE37">
        <f>SUM($K37:M37)</f>
        <v>10</v>
      </c>
      <c r="AF37">
        <f>SUM($K37:N37)</f>
        <v>10</v>
      </c>
      <c r="AG37">
        <f>SUM($K37:O37)</f>
        <v>10</v>
      </c>
      <c r="AH37">
        <f>SUM($K37:P37)</f>
        <v>10</v>
      </c>
      <c r="AI37">
        <f>SUM($K37:Q37)</f>
        <v>10</v>
      </c>
      <c r="AJ37">
        <f>SUM($K37:R37)</f>
        <v>10</v>
      </c>
      <c r="AK37">
        <f>SUM($K37:S37)</f>
        <v>10</v>
      </c>
      <c r="AL37">
        <f>SUM($K37:T37)</f>
        <v>10</v>
      </c>
      <c r="AM37">
        <f>SUM($K37:U37)</f>
        <v>10</v>
      </c>
      <c r="AN37">
        <f>SUM($K37:V37)</f>
        <v>10</v>
      </c>
      <c r="AO37">
        <f>SUM($K37:W37)</f>
        <v>10</v>
      </c>
      <c r="AP37">
        <f>SUM($K37:X37)</f>
        <v>10</v>
      </c>
      <c r="AQ37">
        <f>SUM($K37:Y37)</f>
        <v>10</v>
      </c>
      <c r="AR37" t="str">
        <f t="shared" si="3"/>
        <v>ОТКРЫТО</v>
      </c>
      <c r="AS37" t="str">
        <f t="shared" si="4"/>
        <v>ОТКРЫТО</v>
      </c>
      <c r="AT37" t="str">
        <f t="shared" si="5"/>
        <v>ОТКРЫТО</v>
      </c>
      <c r="AU37" t="str">
        <f t="shared" si="6"/>
        <v>ОТКРЫТО</v>
      </c>
      <c r="AV37" t="str">
        <f t="shared" si="7"/>
        <v>ОТКРЫТО</v>
      </c>
      <c r="AW37" t="str">
        <f t="shared" si="8"/>
        <v>ОТКРЫТО</v>
      </c>
      <c r="AX37" t="str">
        <f t="shared" si="9"/>
        <v>ОТКРЫТО</v>
      </c>
      <c r="AY37" t="str">
        <f t="shared" si="10"/>
        <v>ОТКРЫТО</v>
      </c>
      <c r="AZ37" t="str">
        <f t="shared" si="11"/>
        <v>ОТКРЫТО</v>
      </c>
      <c r="BA37" t="str">
        <f t="shared" si="12"/>
        <v>ОТКРЫТО</v>
      </c>
      <c r="BB37" t="str">
        <f t="shared" si="13"/>
        <v>ОТКРЫТО</v>
      </c>
      <c r="BC37" t="str">
        <f t="shared" si="14"/>
        <v>ОТКРЫТО</v>
      </c>
      <c r="BD37" t="str">
        <f t="shared" si="15"/>
        <v>ОТКРЫТО</v>
      </c>
      <c r="BE37" t="str">
        <f t="shared" si="16"/>
        <v>ОТКРЫТО</v>
      </c>
      <c r="BF37" t="str">
        <f t="shared" si="17"/>
        <v>ОТКРЫТО</v>
      </c>
      <c r="BG37" t="str">
        <f t="shared" si="18"/>
        <v/>
      </c>
      <c r="BH37" t="str">
        <f t="shared" si="19"/>
        <v/>
      </c>
    </row>
    <row r="38" spans="1:60" ht="185.25">
      <c r="A38" s="3" t="s">
        <v>184</v>
      </c>
      <c r="B38" s="3" t="s">
        <v>172</v>
      </c>
      <c r="C38" s="3" t="s">
        <v>82</v>
      </c>
      <c r="D38" s="3" t="s">
        <v>185</v>
      </c>
      <c r="E38" s="3">
        <v>70</v>
      </c>
      <c r="F38" s="3" t="s">
        <v>176</v>
      </c>
      <c r="G38" s="3" t="s">
        <v>180</v>
      </c>
      <c r="H38" s="3"/>
      <c r="I38" s="3" t="s">
        <v>186</v>
      </c>
      <c r="J38" s="3" t="s">
        <v>187</v>
      </c>
      <c r="K38" s="4">
        <f>SUMIF('Ход 2026'!$G$29:$G$38,$A38,'Ход 2026'!$I$29:$I$38)*(1+'Эффекты технологий'!J$7)</f>
        <v>0</v>
      </c>
      <c r="L38" s="4">
        <f>SUMIF('Ход 2027'!$G$29:$G$38,$A38,'Ход 2027'!$I$29:$I$38)*(1+'Эффекты технологий'!K$7)</f>
        <v>0</v>
      </c>
      <c r="M38" s="4">
        <f>SUMIF('Ход 2028'!$G$29:$G$38,$A38,'Ход 2028'!$I$29:$I$38)*(1+'Эффекты технологий'!L$7)</f>
        <v>0</v>
      </c>
      <c r="N38" s="4">
        <f>SUMIF('Ход 2029'!$G$29:$G$38,$A38,'Ход 2029'!$I$29:$I$38)*(1+'Эффекты технологий'!M$7)</f>
        <v>0</v>
      </c>
      <c r="O38" s="4">
        <f>SUMIF('Ход 2030'!$G$29:$G$38,$A38,'Ход 2030'!$I$29:$I$38)*(1+'Эффекты технологий'!N$7)</f>
        <v>0</v>
      </c>
      <c r="P38" s="4">
        <f>SUMIF('Ход 2031'!$G$29:$G$38,$A38,'Ход 2031'!$I$29:$I$38)*(1+'Эффекты технологий'!O$7)</f>
        <v>0</v>
      </c>
      <c r="Q38" s="4">
        <f>SUMIF('Ход 2032'!$G$29:$G$38,$A38,'Ход 2032'!$I$29:$I$38)*(1+'Эффекты технологий'!P$7)</f>
        <v>0</v>
      </c>
      <c r="R38" s="4">
        <f>SUMIF('Ход 2033'!$G$29:$G$38,$A38,'Ход 2033'!$I$29:$I$38)*(1+'Эффекты технологий'!Q$7)</f>
        <v>0</v>
      </c>
      <c r="S38" s="4">
        <f>SUMIF('Ход 2034'!$G$29:$G$38,$A38,'Ход 2034'!$I$29:$I$38)*(1+'Эффекты технологий'!R$7)</f>
        <v>0</v>
      </c>
      <c r="T38" s="4">
        <f>SUMIF('Ход 2035'!$G$29:$G$38,$A38,'Ход 2035'!$I$29:$I$38)*(1+'Эффекты технологий'!S$7)</f>
        <v>0</v>
      </c>
      <c r="U38" s="4">
        <f>SUMIF('Ход 2036'!$G$29:$G$38,$A38,'Ход 2036'!$I$29:$I$38)*(1+'Эффекты технологий'!T$7)</f>
        <v>0</v>
      </c>
      <c r="V38" s="4">
        <f>SUMIF('Ход 2037'!$G$29:$G$38,$A38,'Ход 2037'!$I$29:$I$38)*(1+'Эффекты технологий'!U$7)</f>
        <v>0</v>
      </c>
      <c r="W38" s="4">
        <f>SUMIF('Ход 2038'!$G$29:$G$38,$A38,'Ход 2038'!$I$29:$I$38)*(1+'Эффекты технологий'!V$7)</f>
        <v>0</v>
      </c>
      <c r="X38" s="4">
        <f>SUMIF('Ход 2039'!$G$29:$G$38,$A38,'Ход 2039'!$I$29:$I$38)*(1+'Эффекты технологий'!W$7)</f>
        <v>0</v>
      </c>
      <c r="Y38" s="4">
        <f>SUMIF('Ход 2040'!$G$29:$G$38,$A38,'Ход 2040'!$I$29:$I$38)*(1+'Эффекты технологий'!X$7)</f>
        <v>0</v>
      </c>
      <c r="Z38" s="5">
        <f t="shared" si="0"/>
        <v>0</v>
      </c>
      <c r="AA38" s="5">
        <f t="shared" si="1"/>
        <v>70</v>
      </c>
      <c r="AB38" s="3" t="str">
        <f t="shared" si="2"/>
        <v>ОТКРЫТО</v>
      </c>
      <c r="AC38">
        <f>SUM($K38:K38)</f>
        <v>0</v>
      </c>
      <c r="AD38">
        <f>SUM($K38:L38)</f>
        <v>0</v>
      </c>
      <c r="AE38">
        <f>SUM($K38:M38)</f>
        <v>0</v>
      </c>
      <c r="AF38">
        <f>SUM($K38:N38)</f>
        <v>0</v>
      </c>
      <c r="AG38">
        <f>SUM($K38:O38)</f>
        <v>0</v>
      </c>
      <c r="AH38">
        <f>SUM($K38:P38)</f>
        <v>0</v>
      </c>
      <c r="AI38">
        <f>SUM($K38:Q38)</f>
        <v>0</v>
      </c>
      <c r="AJ38">
        <f>SUM($K38:R38)</f>
        <v>0</v>
      </c>
      <c r="AK38">
        <f>SUM($K38:S38)</f>
        <v>0</v>
      </c>
      <c r="AL38">
        <f>SUM($K38:T38)</f>
        <v>0</v>
      </c>
      <c r="AM38">
        <f>SUM($K38:U38)</f>
        <v>0</v>
      </c>
      <c r="AN38">
        <f>SUM($K38:V38)</f>
        <v>0</v>
      </c>
      <c r="AO38">
        <f>SUM($K38:W38)</f>
        <v>0</v>
      </c>
      <c r="AP38">
        <f>SUM($K38:X38)</f>
        <v>0</v>
      </c>
      <c r="AQ38">
        <f>SUM($K38:Y38)</f>
        <v>0</v>
      </c>
      <c r="AR38" t="str">
        <f t="shared" si="3"/>
        <v>ОТКРЫТО</v>
      </c>
      <c r="AS38" t="str">
        <f t="shared" si="4"/>
        <v>ОТКРЫТО</v>
      </c>
      <c r="AT38" t="str">
        <f t="shared" si="5"/>
        <v>ОТКРЫТО</v>
      </c>
      <c r="AU38" t="str">
        <f t="shared" si="6"/>
        <v>ОТКРЫТО</v>
      </c>
      <c r="AV38" t="str">
        <f t="shared" si="7"/>
        <v>ОТКРЫТО</v>
      </c>
      <c r="AW38" t="str">
        <f t="shared" si="8"/>
        <v>ОТКРЫТО</v>
      </c>
      <c r="AX38" t="str">
        <f t="shared" si="9"/>
        <v>ОТКРЫТО</v>
      </c>
      <c r="AY38" t="str">
        <f t="shared" si="10"/>
        <v>ОТКРЫТО</v>
      </c>
      <c r="AZ38" t="str">
        <f t="shared" si="11"/>
        <v>ОТКРЫТО</v>
      </c>
      <c r="BA38" t="str">
        <f t="shared" si="12"/>
        <v>ОТКРЫТО</v>
      </c>
      <c r="BB38" t="str">
        <f t="shared" si="13"/>
        <v>ОТКРЫТО</v>
      </c>
      <c r="BC38" t="str">
        <f t="shared" si="14"/>
        <v>ОТКРЫТО</v>
      </c>
      <c r="BD38" t="str">
        <f t="shared" si="15"/>
        <v>ОТКРЫТО</v>
      </c>
      <c r="BE38" t="str">
        <f t="shared" si="16"/>
        <v>ОТКРЫТО</v>
      </c>
      <c r="BF38" t="str">
        <f t="shared" si="17"/>
        <v>ОТКРЫТО</v>
      </c>
      <c r="BG38" t="str">
        <f t="shared" si="18"/>
        <v/>
      </c>
      <c r="BH38" t="str">
        <f t="shared" si="19"/>
        <v/>
      </c>
    </row>
    <row r="39" spans="1:60" ht="185.25">
      <c r="A39" s="3" t="s">
        <v>188</v>
      </c>
      <c r="B39" s="3" t="s">
        <v>172</v>
      </c>
      <c r="C39" s="3" t="s">
        <v>87</v>
      </c>
      <c r="D39" s="3" t="s">
        <v>189</v>
      </c>
      <c r="E39" s="3">
        <v>105</v>
      </c>
      <c r="F39" s="3" t="s">
        <v>184</v>
      </c>
      <c r="G39" s="3"/>
      <c r="H39" s="3"/>
      <c r="I39" s="3" t="s">
        <v>190</v>
      </c>
      <c r="J39" s="3" t="s">
        <v>191</v>
      </c>
      <c r="K39" s="4">
        <f>SUMIF('Ход 2026'!$G$29:$G$38,$A39,'Ход 2026'!$I$29:$I$38)*(1+'Эффекты технологий'!J$7)</f>
        <v>0</v>
      </c>
      <c r="L39" s="4">
        <f>SUMIF('Ход 2027'!$G$29:$G$38,$A39,'Ход 2027'!$I$29:$I$38)*(1+'Эффекты технологий'!K$7)</f>
        <v>0</v>
      </c>
      <c r="M39" s="4">
        <f>SUMIF('Ход 2028'!$G$29:$G$38,$A39,'Ход 2028'!$I$29:$I$38)*(1+'Эффекты технологий'!L$7)</f>
        <v>0</v>
      </c>
      <c r="N39" s="4">
        <f>SUMIF('Ход 2029'!$G$29:$G$38,$A39,'Ход 2029'!$I$29:$I$38)*(1+'Эффекты технологий'!M$7)</f>
        <v>0</v>
      </c>
      <c r="O39" s="4">
        <f>SUMIF('Ход 2030'!$G$29:$G$38,$A39,'Ход 2030'!$I$29:$I$38)*(1+'Эффекты технологий'!N$7)</f>
        <v>0</v>
      </c>
      <c r="P39" s="4">
        <f>SUMIF('Ход 2031'!$G$29:$G$38,$A39,'Ход 2031'!$I$29:$I$38)*(1+'Эффекты технологий'!O$7)</f>
        <v>0</v>
      </c>
      <c r="Q39" s="4">
        <f>SUMIF('Ход 2032'!$G$29:$G$38,$A39,'Ход 2032'!$I$29:$I$38)*(1+'Эффекты технологий'!P$7)</f>
        <v>0</v>
      </c>
      <c r="R39" s="4">
        <f>SUMIF('Ход 2033'!$G$29:$G$38,$A39,'Ход 2033'!$I$29:$I$38)*(1+'Эффекты технологий'!Q$7)</f>
        <v>0</v>
      </c>
      <c r="S39" s="4">
        <f>SUMIF('Ход 2034'!$G$29:$G$38,$A39,'Ход 2034'!$I$29:$I$38)*(1+'Эффекты технологий'!R$7)</f>
        <v>0</v>
      </c>
      <c r="T39" s="4">
        <f>SUMIF('Ход 2035'!$G$29:$G$38,$A39,'Ход 2035'!$I$29:$I$38)*(1+'Эффекты технологий'!S$7)</f>
        <v>0</v>
      </c>
      <c r="U39" s="4">
        <f>SUMIF('Ход 2036'!$G$29:$G$38,$A39,'Ход 2036'!$I$29:$I$38)*(1+'Эффекты технологий'!T$7)</f>
        <v>0</v>
      </c>
      <c r="V39" s="4">
        <f>SUMIF('Ход 2037'!$G$29:$G$38,$A39,'Ход 2037'!$I$29:$I$38)*(1+'Эффекты технологий'!U$7)</f>
        <v>0</v>
      </c>
      <c r="W39" s="4">
        <f>SUMIF('Ход 2038'!$G$29:$G$38,$A39,'Ход 2038'!$I$29:$I$38)*(1+'Эффекты технологий'!V$7)</f>
        <v>0</v>
      </c>
      <c r="X39" s="4">
        <f>SUMIF('Ход 2039'!$G$29:$G$38,$A39,'Ход 2039'!$I$29:$I$38)*(1+'Эффекты технологий'!W$7)</f>
        <v>0</v>
      </c>
      <c r="Y39" s="4">
        <f>SUMIF('Ход 2040'!$G$29:$G$38,$A39,'Ход 2040'!$I$29:$I$38)*(1+'Эффекты технологий'!X$7)</f>
        <v>0</v>
      </c>
      <c r="Z39" s="5">
        <f t="shared" si="0"/>
        <v>0</v>
      </c>
      <c r="AA39" s="5">
        <f t="shared" si="1"/>
        <v>105</v>
      </c>
      <c r="AB39" s="3" t="str">
        <f t="shared" si="2"/>
        <v>ОТКРЫТО</v>
      </c>
      <c r="AC39">
        <f>SUM($K39:K39)</f>
        <v>0</v>
      </c>
      <c r="AD39">
        <f>SUM($K39:L39)</f>
        <v>0</v>
      </c>
      <c r="AE39">
        <f>SUM($K39:M39)</f>
        <v>0</v>
      </c>
      <c r="AF39">
        <f>SUM($K39:N39)</f>
        <v>0</v>
      </c>
      <c r="AG39">
        <f>SUM($K39:O39)</f>
        <v>0</v>
      </c>
      <c r="AH39">
        <f>SUM($K39:P39)</f>
        <v>0</v>
      </c>
      <c r="AI39">
        <f>SUM($K39:Q39)</f>
        <v>0</v>
      </c>
      <c r="AJ39">
        <f>SUM($K39:R39)</f>
        <v>0</v>
      </c>
      <c r="AK39">
        <f>SUM($K39:S39)</f>
        <v>0</v>
      </c>
      <c r="AL39">
        <f>SUM($K39:T39)</f>
        <v>0</v>
      </c>
      <c r="AM39">
        <f>SUM($K39:U39)</f>
        <v>0</v>
      </c>
      <c r="AN39">
        <f>SUM($K39:V39)</f>
        <v>0</v>
      </c>
      <c r="AO39">
        <f>SUM($K39:W39)</f>
        <v>0</v>
      </c>
      <c r="AP39">
        <f>SUM($K39:X39)</f>
        <v>0</v>
      </c>
      <c r="AQ39">
        <f>SUM($K39:Y39)</f>
        <v>0</v>
      </c>
      <c r="AR39" t="str">
        <f t="shared" si="3"/>
        <v>ОТКРЫТО</v>
      </c>
      <c r="AS39" t="str">
        <f t="shared" si="4"/>
        <v>ОТКРЫТО</v>
      </c>
      <c r="AT39" t="str">
        <f t="shared" si="5"/>
        <v>ОТКРЫТО</v>
      </c>
      <c r="AU39" t="str">
        <f t="shared" si="6"/>
        <v>ОТКРЫТО</v>
      </c>
      <c r="AV39" t="str">
        <f t="shared" si="7"/>
        <v>ОТКРЫТО</v>
      </c>
      <c r="AW39" t="str">
        <f t="shared" si="8"/>
        <v>ОТКРЫТО</v>
      </c>
      <c r="AX39" t="str">
        <f t="shared" si="9"/>
        <v>ОТКРЫТО</v>
      </c>
      <c r="AY39" t="str">
        <f t="shared" si="10"/>
        <v>ОТКРЫТО</v>
      </c>
      <c r="AZ39" t="str">
        <f t="shared" si="11"/>
        <v>ОТКРЫТО</v>
      </c>
      <c r="BA39" t="str">
        <f t="shared" si="12"/>
        <v>ОТКРЫТО</v>
      </c>
      <c r="BB39" t="str">
        <f t="shared" si="13"/>
        <v>ОТКРЫТО</v>
      </c>
      <c r="BC39" t="str">
        <f t="shared" si="14"/>
        <v>ОТКРЫТО</v>
      </c>
      <c r="BD39" t="str">
        <f t="shared" si="15"/>
        <v>ОТКРЫТО</v>
      </c>
      <c r="BE39" t="str">
        <f t="shared" si="16"/>
        <v>ОТКРЫТО</v>
      </c>
      <c r="BF39" t="str">
        <f t="shared" si="17"/>
        <v>ОТКРЫТО</v>
      </c>
      <c r="BG39" t="str">
        <f t="shared" si="18"/>
        <v/>
      </c>
      <c r="BH39" t="str">
        <f t="shared" si="19"/>
        <v/>
      </c>
    </row>
    <row r="40" spans="1:60" ht="213.75">
      <c r="A40" s="3" t="s">
        <v>192</v>
      </c>
      <c r="B40" s="3" t="s">
        <v>172</v>
      </c>
      <c r="C40" s="3" t="s">
        <v>92</v>
      </c>
      <c r="D40" s="3" t="s">
        <v>193</v>
      </c>
      <c r="E40" s="3">
        <v>150</v>
      </c>
      <c r="F40" s="3" t="s">
        <v>188</v>
      </c>
      <c r="G40" s="3"/>
      <c r="H40" s="3"/>
      <c r="I40" s="3" t="s">
        <v>194</v>
      </c>
      <c r="J40" s="3" t="s">
        <v>195</v>
      </c>
      <c r="K40" s="4">
        <f>SUMIF('Ход 2026'!$G$29:$G$38,$A40,'Ход 2026'!$I$29:$I$38)*(1+'Эффекты технологий'!J$7)</f>
        <v>0</v>
      </c>
      <c r="L40" s="4">
        <f>SUMIF('Ход 2027'!$G$29:$G$38,$A40,'Ход 2027'!$I$29:$I$38)*(1+'Эффекты технологий'!K$7)</f>
        <v>0</v>
      </c>
      <c r="M40" s="4">
        <f>SUMIF('Ход 2028'!$G$29:$G$38,$A40,'Ход 2028'!$I$29:$I$38)*(1+'Эффекты технологий'!L$7)</f>
        <v>0</v>
      </c>
      <c r="N40" s="4">
        <f>SUMIF('Ход 2029'!$G$29:$G$38,$A40,'Ход 2029'!$I$29:$I$38)*(1+'Эффекты технологий'!M$7)</f>
        <v>0</v>
      </c>
      <c r="O40" s="4">
        <f>SUMIF('Ход 2030'!$G$29:$G$38,$A40,'Ход 2030'!$I$29:$I$38)*(1+'Эффекты технологий'!N$7)</f>
        <v>0</v>
      </c>
      <c r="P40" s="4">
        <f>SUMIF('Ход 2031'!$G$29:$G$38,$A40,'Ход 2031'!$I$29:$I$38)*(1+'Эффекты технологий'!O$7)</f>
        <v>0</v>
      </c>
      <c r="Q40" s="4">
        <f>SUMIF('Ход 2032'!$G$29:$G$38,$A40,'Ход 2032'!$I$29:$I$38)*(1+'Эффекты технологий'!P$7)</f>
        <v>0</v>
      </c>
      <c r="R40" s="4">
        <f>SUMIF('Ход 2033'!$G$29:$G$38,$A40,'Ход 2033'!$I$29:$I$38)*(1+'Эффекты технологий'!Q$7)</f>
        <v>0</v>
      </c>
      <c r="S40" s="4">
        <f>SUMIF('Ход 2034'!$G$29:$G$38,$A40,'Ход 2034'!$I$29:$I$38)*(1+'Эффекты технологий'!R$7)</f>
        <v>0</v>
      </c>
      <c r="T40" s="4">
        <f>SUMIF('Ход 2035'!$G$29:$G$38,$A40,'Ход 2035'!$I$29:$I$38)*(1+'Эффекты технологий'!S$7)</f>
        <v>0</v>
      </c>
      <c r="U40" s="4">
        <f>SUMIF('Ход 2036'!$G$29:$G$38,$A40,'Ход 2036'!$I$29:$I$38)*(1+'Эффекты технологий'!T$7)</f>
        <v>0</v>
      </c>
      <c r="V40" s="4">
        <f>SUMIF('Ход 2037'!$G$29:$G$38,$A40,'Ход 2037'!$I$29:$I$38)*(1+'Эффекты технологий'!U$7)</f>
        <v>0</v>
      </c>
      <c r="W40" s="4">
        <f>SUMIF('Ход 2038'!$G$29:$G$38,$A40,'Ход 2038'!$I$29:$I$38)*(1+'Эффекты технологий'!V$7)</f>
        <v>0</v>
      </c>
      <c r="X40" s="4">
        <f>SUMIF('Ход 2039'!$G$29:$G$38,$A40,'Ход 2039'!$I$29:$I$38)*(1+'Эффекты технологий'!W$7)</f>
        <v>0</v>
      </c>
      <c r="Y40" s="4">
        <f>SUMIF('Ход 2040'!$G$29:$G$38,$A40,'Ход 2040'!$I$29:$I$38)*(1+'Эффекты технологий'!X$7)</f>
        <v>0</v>
      </c>
      <c r="Z40" s="5">
        <f t="shared" si="0"/>
        <v>0</v>
      </c>
      <c r="AA40" s="5">
        <f t="shared" si="1"/>
        <v>150</v>
      </c>
      <c r="AB40" s="3" t="str">
        <f t="shared" si="2"/>
        <v>ОТКРЫТО</v>
      </c>
      <c r="AC40">
        <f>SUM($K40:K40)</f>
        <v>0</v>
      </c>
      <c r="AD40">
        <f>SUM($K40:L40)</f>
        <v>0</v>
      </c>
      <c r="AE40">
        <f>SUM($K40:M40)</f>
        <v>0</v>
      </c>
      <c r="AF40">
        <f>SUM($K40:N40)</f>
        <v>0</v>
      </c>
      <c r="AG40">
        <f>SUM($K40:O40)</f>
        <v>0</v>
      </c>
      <c r="AH40">
        <f>SUM($K40:P40)</f>
        <v>0</v>
      </c>
      <c r="AI40">
        <f>SUM($K40:Q40)</f>
        <v>0</v>
      </c>
      <c r="AJ40">
        <f>SUM($K40:R40)</f>
        <v>0</v>
      </c>
      <c r="AK40">
        <f>SUM($K40:S40)</f>
        <v>0</v>
      </c>
      <c r="AL40">
        <f>SUM($K40:T40)</f>
        <v>0</v>
      </c>
      <c r="AM40">
        <f>SUM($K40:U40)</f>
        <v>0</v>
      </c>
      <c r="AN40">
        <f>SUM($K40:V40)</f>
        <v>0</v>
      </c>
      <c r="AO40">
        <f>SUM($K40:W40)</f>
        <v>0</v>
      </c>
      <c r="AP40">
        <f>SUM($K40:X40)</f>
        <v>0</v>
      </c>
      <c r="AQ40">
        <f>SUM($K40:Y40)</f>
        <v>0</v>
      </c>
      <c r="AR40" t="str">
        <f t="shared" si="3"/>
        <v>ОТКРЫТО</v>
      </c>
      <c r="AS40" t="str">
        <f t="shared" si="4"/>
        <v>ОТКРЫТО</v>
      </c>
      <c r="AT40" t="str">
        <f t="shared" si="5"/>
        <v>ОТКРЫТО</v>
      </c>
      <c r="AU40" t="str">
        <f t="shared" si="6"/>
        <v>ОТКРЫТО</v>
      </c>
      <c r="AV40" t="str">
        <f t="shared" si="7"/>
        <v>ОТКРЫТО</v>
      </c>
      <c r="AW40" t="str">
        <f t="shared" si="8"/>
        <v>ОТКРЫТО</v>
      </c>
      <c r="AX40" t="str">
        <f t="shared" si="9"/>
        <v>ОТКРЫТО</v>
      </c>
      <c r="AY40" t="str">
        <f t="shared" si="10"/>
        <v>ОТКРЫТО</v>
      </c>
      <c r="AZ40" t="str">
        <f t="shared" si="11"/>
        <v>ОТКРЫТО</v>
      </c>
      <c r="BA40" t="str">
        <f t="shared" si="12"/>
        <v>ОТКРЫТО</v>
      </c>
      <c r="BB40" t="str">
        <f t="shared" si="13"/>
        <v>ОТКРЫТО</v>
      </c>
      <c r="BC40" t="str">
        <f t="shared" si="14"/>
        <v>ОТКРЫТО</v>
      </c>
      <c r="BD40" t="str">
        <f t="shared" si="15"/>
        <v>ОТКРЫТО</v>
      </c>
      <c r="BE40" t="str">
        <f t="shared" si="16"/>
        <v>ОТКРЫТО</v>
      </c>
      <c r="BF40" t="str">
        <f t="shared" si="17"/>
        <v>ОТКРЫТО</v>
      </c>
      <c r="BG40" t="str">
        <f t="shared" si="18"/>
        <v/>
      </c>
      <c r="BH40" t="str">
        <f t="shared" si="19"/>
        <v/>
      </c>
    </row>
    <row r="41" spans="1:60" ht="156.75">
      <c r="A41" s="3" t="s">
        <v>196</v>
      </c>
      <c r="B41" s="3" t="s">
        <v>197</v>
      </c>
      <c r="C41" s="3" t="s">
        <v>68</v>
      </c>
      <c r="D41" s="3" t="s">
        <v>198</v>
      </c>
      <c r="E41" s="3">
        <v>20</v>
      </c>
      <c r="F41" s="3"/>
      <c r="G41" s="3"/>
      <c r="H41" s="3"/>
      <c r="I41" s="3" t="s">
        <v>199</v>
      </c>
      <c r="J41" s="3" t="s">
        <v>200</v>
      </c>
      <c r="K41" s="4">
        <f>SUMIF('Ход 2026'!$G$29:$G$38,$A41,'Ход 2026'!$I$29:$I$38)*(1+'Эффекты технологий'!J$7)</f>
        <v>0</v>
      </c>
      <c r="L41" s="4">
        <f>SUMIF('Ход 2027'!$G$29:$G$38,$A41,'Ход 2027'!$I$29:$I$38)*(1+'Эффекты технологий'!K$7)</f>
        <v>0</v>
      </c>
      <c r="M41" s="4">
        <f>SUMIF('Ход 2028'!$G$29:$G$38,$A41,'Ход 2028'!$I$29:$I$38)*(1+'Эффекты технологий'!L$7)</f>
        <v>0</v>
      </c>
      <c r="N41" s="4">
        <f>SUMIF('Ход 2029'!$G$29:$G$38,$A41,'Ход 2029'!$I$29:$I$38)*(1+'Эффекты технологий'!M$7)</f>
        <v>0</v>
      </c>
      <c r="O41" s="4">
        <f>SUMIF('Ход 2030'!$G$29:$G$38,$A41,'Ход 2030'!$I$29:$I$38)*(1+'Эффекты технологий'!N$7)</f>
        <v>0</v>
      </c>
      <c r="P41" s="4">
        <f>SUMIF('Ход 2031'!$G$29:$G$38,$A41,'Ход 2031'!$I$29:$I$38)*(1+'Эффекты технологий'!O$7)</f>
        <v>0</v>
      </c>
      <c r="Q41" s="4">
        <f>SUMIF('Ход 2032'!$G$29:$G$38,$A41,'Ход 2032'!$I$29:$I$38)*(1+'Эффекты технологий'!P$7)</f>
        <v>0</v>
      </c>
      <c r="R41" s="4">
        <f>SUMIF('Ход 2033'!$G$29:$G$38,$A41,'Ход 2033'!$I$29:$I$38)*(1+'Эффекты технологий'!Q$7)</f>
        <v>0</v>
      </c>
      <c r="S41" s="4">
        <f>SUMIF('Ход 2034'!$G$29:$G$38,$A41,'Ход 2034'!$I$29:$I$38)*(1+'Эффекты технологий'!R$7)</f>
        <v>0</v>
      </c>
      <c r="T41" s="4">
        <f>SUMIF('Ход 2035'!$G$29:$G$38,$A41,'Ход 2035'!$I$29:$I$38)*(1+'Эффекты технологий'!S$7)</f>
        <v>0</v>
      </c>
      <c r="U41" s="4">
        <f>SUMIF('Ход 2036'!$G$29:$G$38,$A41,'Ход 2036'!$I$29:$I$38)*(1+'Эффекты технологий'!T$7)</f>
        <v>0</v>
      </c>
      <c r="V41" s="4">
        <f>SUMIF('Ход 2037'!$G$29:$G$38,$A41,'Ход 2037'!$I$29:$I$38)*(1+'Эффекты технологий'!U$7)</f>
        <v>0</v>
      </c>
      <c r="W41" s="4">
        <f>SUMIF('Ход 2038'!$G$29:$G$38,$A41,'Ход 2038'!$I$29:$I$38)*(1+'Эффекты технологий'!V$7)</f>
        <v>0</v>
      </c>
      <c r="X41" s="4">
        <f>SUMIF('Ход 2039'!$G$29:$G$38,$A41,'Ход 2039'!$I$29:$I$38)*(1+'Эффекты технологий'!W$7)</f>
        <v>0</v>
      </c>
      <c r="Y41" s="4">
        <f>SUMIF('Ход 2040'!$G$29:$G$38,$A41,'Ход 2040'!$I$29:$I$38)*(1+'Эффекты технологий'!X$7)</f>
        <v>0</v>
      </c>
      <c r="Z41" s="5">
        <f t="shared" si="0"/>
        <v>0</v>
      </c>
      <c r="AA41" s="5">
        <f t="shared" si="1"/>
        <v>20</v>
      </c>
      <c r="AB41" s="3" t="str">
        <f t="shared" si="2"/>
        <v>ОТКРЫТО</v>
      </c>
      <c r="AC41">
        <f>SUM($K41:K41)</f>
        <v>0</v>
      </c>
      <c r="AD41">
        <f>SUM($K41:L41)</f>
        <v>0</v>
      </c>
      <c r="AE41">
        <f>SUM($K41:M41)</f>
        <v>0</v>
      </c>
      <c r="AF41">
        <f>SUM($K41:N41)</f>
        <v>0</v>
      </c>
      <c r="AG41">
        <f>SUM($K41:O41)</f>
        <v>0</v>
      </c>
      <c r="AH41">
        <f>SUM($K41:P41)</f>
        <v>0</v>
      </c>
      <c r="AI41">
        <f>SUM($K41:Q41)</f>
        <v>0</v>
      </c>
      <c r="AJ41">
        <f>SUM($K41:R41)</f>
        <v>0</v>
      </c>
      <c r="AK41">
        <f>SUM($K41:S41)</f>
        <v>0</v>
      </c>
      <c r="AL41">
        <f>SUM($K41:T41)</f>
        <v>0</v>
      </c>
      <c r="AM41">
        <f>SUM($K41:U41)</f>
        <v>0</v>
      </c>
      <c r="AN41">
        <f>SUM($K41:V41)</f>
        <v>0</v>
      </c>
      <c r="AO41">
        <f>SUM($K41:W41)</f>
        <v>0</v>
      </c>
      <c r="AP41">
        <f>SUM($K41:X41)</f>
        <v>0</v>
      </c>
      <c r="AQ41">
        <f>SUM($K41:Y41)</f>
        <v>0</v>
      </c>
      <c r="AR41" t="str">
        <f t="shared" si="3"/>
        <v>ОТКРЫТО</v>
      </c>
      <c r="AS41" t="str">
        <f t="shared" si="4"/>
        <v>ОТКРЫТО</v>
      </c>
      <c r="AT41" t="str">
        <f t="shared" si="5"/>
        <v>ОТКРЫТО</v>
      </c>
      <c r="AU41" t="str">
        <f t="shared" si="6"/>
        <v>ОТКРЫТО</v>
      </c>
      <c r="AV41" t="str">
        <f t="shared" si="7"/>
        <v>ОТКРЫТО</v>
      </c>
      <c r="AW41" t="str">
        <f t="shared" si="8"/>
        <v>ОТКРЫТО</v>
      </c>
      <c r="AX41" t="str">
        <f t="shared" si="9"/>
        <v>ОТКРЫТО</v>
      </c>
      <c r="AY41" t="str">
        <f t="shared" si="10"/>
        <v>ОТКРЫТО</v>
      </c>
      <c r="AZ41" t="str">
        <f t="shared" si="11"/>
        <v>ОТКРЫТО</v>
      </c>
      <c r="BA41" t="str">
        <f t="shared" si="12"/>
        <v>ОТКРЫТО</v>
      </c>
      <c r="BB41" t="str">
        <f t="shared" si="13"/>
        <v>ОТКРЫТО</v>
      </c>
      <c r="BC41" t="str">
        <f t="shared" si="14"/>
        <v>ОТКРЫТО</v>
      </c>
      <c r="BD41" t="str">
        <f t="shared" si="15"/>
        <v>ОТКРЫТО</v>
      </c>
      <c r="BE41" t="str">
        <f t="shared" si="16"/>
        <v>ОТКРЫТО</v>
      </c>
      <c r="BF41" t="str">
        <f t="shared" si="17"/>
        <v>ОТКРЫТО</v>
      </c>
      <c r="BG41" t="str">
        <f t="shared" si="18"/>
        <v/>
      </c>
      <c r="BH41" t="str">
        <f t="shared" si="19"/>
        <v/>
      </c>
    </row>
    <row r="42" spans="1:60" ht="171">
      <c r="A42" s="3" t="s">
        <v>201</v>
      </c>
      <c r="B42" s="3" t="s">
        <v>197</v>
      </c>
      <c r="C42" s="3" t="s">
        <v>73</v>
      </c>
      <c r="D42" s="3" t="s">
        <v>202</v>
      </c>
      <c r="E42" s="3">
        <v>35</v>
      </c>
      <c r="F42" s="3" t="s">
        <v>196</v>
      </c>
      <c r="G42" s="3"/>
      <c r="H42" s="3"/>
      <c r="I42" s="3" t="s">
        <v>203</v>
      </c>
      <c r="J42" s="3" t="s">
        <v>204</v>
      </c>
      <c r="K42" s="4">
        <f>SUMIF('Ход 2026'!$G$29:$G$38,$A42,'Ход 2026'!$I$29:$I$38)*(1+'Эффекты технологий'!J$7)</f>
        <v>10</v>
      </c>
      <c r="L42" s="4">
        <f>SUMIF('Ход 2027'!$G$29:$G$38,$A42,'Ход 2027'!$I$29:$I$38)*(1+'Эффекты технологий'!K$7)</f>
        <v>0</v>
      </c>
      <c r="M42" s="4">
        <f>SUMIF('Ход 2028'!$G$29:$G$38,$A42,'Ход 2028'!$I$29:$I$38)*(1+'Эффекты технологий'!L$7)</f>
        <v>0</v>
      </c>
      <c r="N42" s="4">
        <f>SUMIF('Ход 2029'!$G$29:$G$38,$A42,'Ход 2029'!$I$29:$I$38)*(1+'Эффекты технологий'!M$7)</f>
        <v>0</v>
      </c>
      <c r="O42" s="4">
        <f>SUMIF('Ход 2030'!$G$29:$G$38,$A42,'Ход 2030'!$I$29:$I$38)*(1+'Эффекты технологий'!N$7)</f>
        <v>0</v>
      </c>
      <c r="P42" s="4">
        <f>SUMIF('Ход 2031'!$G$29:$G$38,$A42,'Ход 2031'!$I$29:$I$38)*(1+'Эффекты технологий'!O$7)</f>
        <v>0</v>
      </c>
      <c r="Q42" s="4">
        <f>SUMIF('Ход 2032'!$G$29:$G$38,$A42,'Ход 2032'!$I$29:$I$38)*(1+'Эффекты технологий'!P$7)</f>
        <v>0</v>
      </c>
      <c r="R42" s="4">
        <f>SUMIF('Ход 2033'!$G$29:$G$38,$A42,'Ход 2033'!$I$29:$I$38)*(1+'Эффекты технологий'!Q$7)</f>
        <v>0</v>
      </c>
      <c r="S42" s="4">
        <f>SUMIF('Ход 2034'!$G$29:$G$38,$A42,'Ход 2034'!$I$29:$I$38)*(1+'Эффекты технологий'!R$7)</f>
        <v>0</v>
      </c>
      <c r="T42" s="4">
        <f>SUMIF('Ход 2035'!$G$29:$G$38,$A42,'Ход 2035'!$I$29:$I$38)*(1+'Эффекты технологий'!S$7)</f>
        <v>0</v>
      </c>
      <c r="U42" s="4">
        <f>SUMIF('Ход 2036'!$G$29:$G$38,$A42,'Ход 2036'!$I$29:$I$38)*(1+'Эффекты технологий'!T$7)</f>
        <v>0</v>
      </c>
      <c r="V42" s="4">
        <f>SUMIF('Ход 2037'!$G$29:$G$38,$A42,'Ход 2037'!$I$29:$I$38)*(1+'Эффекты технологий'!U$7)</f>
        <v>0</v>
      </c>
      <c r="W42" s="4">
        <f>SUMIF('Ход 2038'!$G$29:$G$38,$A42,'Ход 2038'!$I$29:$I$38)*(1+'Эффекты технологий'!V$7)</f>
        <v>0</v>
      </c>
      <c r="X42" s="4">
        <f>SUMIF('Ход 2039'!$G$29:$G$38,$A42,'Ход 2039'!$I$29:$I$38)*(1+'Эффекты технологий'!W$7)</f>
        <v>0</v>
      </c>
      <c r="Y42" s="4">
        <f>SUMIF('Ход 2040'!$G$29:$G$38,$A42,'Ход 2040'!$I$29:$I$38)*(1+'Эффекты технологий'!X$7)</f>
        <v>0</v>
      </c>
      <c r="Z42" s="5">
        <f t="shared" si="0"/>
        <v>10</v>
      </c>
      <c r="AA42" s="5">
        <f t="shared" si="1"/>
        <v>25</v>
      </c>
      <c r="AB42" s="3" t="str">
        <f t="shared" si="2"/>
        <v>ОТКРЫТО</v>
      </c>
      <c r="AC42">
        <f>SUM($K42:K42)</f>
        <v>10</v>
      </c>
      <c r="AD42">
        <f>SUM($K42:L42)</f>
        <v>10</v>
      </c>
      <c r="AE42">
        <f>SUM($K42:M42)</f>
        <v>10</v>
      </c>
      <c r="AF42">
        <f>SUM($K42:N42)</f>
        <v>10</v>
      </c>
      <c r="AG42">
        <f>SUM($K42:O42)</f>
        <v>10</v>
      </c>
      <c r="AH42">
        <f>SUM($K42:P42)</f>
        <v>10</v>
      </c>
      <c r="AI42">
        <f>SUM($K42:Q42)</f>
        <v>10</v>
      </c>
      <c r="AJ42">
        <f>SUM($K42:R42)</f>
        <v>10</v>
      </c>
      <c r="AK42">
        <f>SUM($K42:S42)</f>
        <v>10</v>
      </c>
      <c r="AL42">
        <f>SUM($K42:T42)</f>
        <v>10</v>
      </c>
      <c r="AM42">
        <f>SUM($K42:U42)</f>
        <v>10</v>
      </c>
      <c r="AN42">
        <f>SUM($K42:V42)</f>
        <v>10</v>
      </c>
      <c r="AO42">
        <f>SUM($K42:W42)</f>
        <v>10</v>
      </c>
      <c r="AP42">
        <f>SUM($K42:X42)</f>
        <v>10</v>
      </c>
      <c r="AQ42">
        <f>SUM($K42:Y42)</f>
        <v>10</v>
      </c>
      <c r="AR42" t="str">
        <f t="shared" si="3"/>
        <v>ОТКРЫТО</v>
      </c>
      <c r="AS42" t="str">
        <f t="shared" si="4"/>
        <v>ОТКРЫТО</v>
      </c>
      <c r="AT42" t="str">
        <f t="shared" si="5"/>
        <v>ОТКРЫТО</v>
      </c>
      <c r="AU42" t="str">
        <f t="shared" si="6"/>
        <v>ОТКРЫТО</v>
      </c>
      <c r="AV42" t="str">
        <f t="shared" si="7"/>
        <v>ОТКРЫТО</v>
      </c>
      <c r="AW42" t="str">
        <f t="shared" si="8"/>
        <v>ОТКРЫТО</v>
      </c>
      <c r="AX42" t="str">
        <f t="shared" si="9"/>
        <v>ОТКРЫТО</v>
      </c>
      <c r="AY42" t="str">
        <f t="shared" si="10"/>
        <v>ОТКРЫТО</v>
      </c>
      <c r="AZ42" t="str">
        <f t="shared" si="11"/>
        <v>ОТКРЫТО</v>
      </c>
      <c r="BA42" t="str">
        <f t="shared" si="12"/>
        <v>ОТКРЫТО</v>
      </c>
      <c r="BB42" t="str">
        <f t="shared" si="13"/>
        <v>ОТКРЫТО</v>
      </c>
      <c r="BC42" t="str">
        <f t="shared" si="14"/>
        <v>ОТКРЫТО</v>
      </c>
      <c r="BD42" t="str">
        <f t="shared" si="15"/>
        <v>ОТКРЫТО</v>
      </c>
      <c r="BE42" t="str">
        <f t="shared" si="16"/>
        <v>ОТКРЫТО</v>
      </c>
      <c r="BF42" t="str">
        <f t="shared" si="17"/>
        <v>ОТКРЫТО</v>
      </c>
      <c r="BG42" t="str">
        <f t="shared" si="18"/>
        <v/>
      </c>
      <c r="BH42" t="str">
        <f t="shared" si="19"/>
        <v/>
      </c>
    </row>
    <row r="43" spans="1:60" ht="171">
      <c r="A43" s="3" t="s">
        <v>205</v>
      </c>
      <c r="B43" s="3" t="s">
        <v>197</v>
      </c>
      <c r="C43" s="3" t="s">
        <v>73</v>
      </c>
      <c r="D43" s="3" t="s">
        <v>206</v>
      </c>
      <c r="E43" s="3">
        <v>40</v>
      </c>
      <c r="F43" s="3" t="s">
        <v>196</v>
      </c>
      <c r="G43" s="3"/>
      <c r="H43" s="3"/>
      <c r="I43" s="3" t="s">
        <v>207</v>
      </c>
      <c r="J43" s="3" t="s">
        <v>208</v>
      </c>
      <c r="K43" s="4">
        <f>SUMIF('Ход 2026'!$G$29:$G$38,$A43,'Ход 2026'!$I$29:$I$38)*(1+'Эффекты технологий'!J$7)</f>
        <v>0</v>
      </c>
      <c r="L43" s="4">
        <f>SUMIF('Ход 2027'!$G$29:$G$38,$A43,'Ход 2027'!$I$29:$I$38)*(1+'Эффекты технологий'!K$7)</f>
        <v>0</v>
      </c>
      <c r="M43" s="4">
        <f>SUMIF('Ход 2028'!$G$29:$G$38,$A43,'Ход 2028'!$I$29:$I$38)*(1+'Эффекты технологий'!L$7)</f>
        <v>0</v>
      </c>
      <c r="N43" s="4">
        <f>SUMIF('Ход 2029'!$G$29:$G$38,$A43,'Ход 2029'!$I$29:$I$38)*(1+'Эффекты технологий'!M$7)</f>
        <v>0</v>
      </c>
      <c r="O43" s="4">
        <f>SUMIF('Ход 2030'!$G$29:$G$38,$A43,'Ход 2030'!$I$29:$I$38)*(1+'Эффекты технологий'!N$7)</f>
        <v>0</v>
      </c>
      <c r="P43" s="4">
        <f>SUMIF('Ход 2031'!$G$29:$G$38,$A43,'Ход 2031'!$I$29:$I$38)*(1+'Эффекты технологий'!O$7)</f>
        <v>0</v>
      </c>
      <c r="Q43" s="4">
        <f>SUMIF('Ход 2032'!$G$29:$G$38,$A43,'Ход 2032'!$I$29:$I$38)*(1+'Эффекты технологий'!P$7)</f>
        <v>0</v>
      </c>
      <c r="R43" s="4">
        <f>SUMIF('Ход 2033'!$G$29:$G$38,$A43,'Ход 2033'!$I$29:$I$38)*(1+'Эффекты технологий'!Q$7)</f>
        <v>0</v>
      </c>
      <c r="S43" s="4">
        <f>SUMIF('Ход 2034'!$G$29:$G$38,$A43,'Ход 2034'!$I$29:$I$38)*(1+'Эффекты технологий'!R$7)</f>
        <v>0</v>
      </c>
      <c r="T43" s="4">
        <f>SUMIF('Ход 2035'!$G$29:$G$38,$A43,'Ход 2035'!$I$29:$I$38)*(1+'Эффекты технологий'!S$7)</f>
        <v>0</v>
      </c>
      <c r="U43" s="4">
        <f>SUMIF('Ход 2036'!$G$29:$G$38,$A43,'Ход 2036'!$I$29:$I$38)*(1+'Эффекты технологий'!T$7)</f>
        <v>0</v>
      </c>
      <c r="V43" s="4">
        <f>SUMIF('Ход 2037'!$G$29:$G$38,$A43,'Ход 2037'!$I$29:$I$38)*(1+'Эффекты технологий'!U$7)</f>
        <v>0</v>
      </c>
      <c r="W43" s="4">
        <f>SUMIF('Ход 2038'!$G$29:$G$38,$A43,'Ход 2038'!$I$29:$I$38)*(1+'Эффекты технологий'!V$7)</f>
        <v>0</v>
      </c>
      <c r="X43" s="4">
        <f>SUMIF('Ход 2039'!$G$29:$G$38,$A43,'Ход 2039'!$I$29:$I$38)*(1+'Эффекты технологий'!W$7)</f>
        <v>0</v>
      </c>
      <c r="Y43" s="4">
        <f>SUMIF('Ход 2040'!$G$29:$G$38,$A43,'Ход 2040'!$I$29:$I$38)*(1+'Эффекты технологий'!X$7)</f>
        <v>0</v>
      </c>
      <c r="Z43" s="5">
        <f t="shared" si="0"/>
        <v>0</v>
      </c>
      <c r="AA43" s="5">
        <f t="shared" si="1"/>
        <v>40</v>
      </c>
      <c r="AB43" s="3" t="str">
        <f t="shared" si="2"/>
        <v>ОТКРЫТО</v>
      </c>
      <c r="AC43">
        <f>SUM($K43:K43)</f>
        <v>0</v>
      </c>
      <c r="AD43">
        <f>SUM($K43:L43)</f>
        <v>0</v>
      </c>
      <c r="AE43">
        <f>SUM($K43:M43)</f>
        <v>0</v>
      </c>
      <c r="AF43">
        <f>SUM($K43:N43)</f>
        <v>0</v>
      </c>
      <c r="AG43">
        <f>SUM($K43:O43)</f>
        <v>0</v>
      </c>
      <c r="AH43">
        <f>SUM($K43:P43)</f>
        <v>0</v>
      </c>
      <c r="AI43">
        <f>SUM($K43:Q43)</f>
        <v>0</v>
      </c>
      <c r="AJ43">
        <f>SUM($K43:R43)</f>
        <v>0</v>
      </c>
      <c r="AK43">
        <f>SUM($K43:S43)</f>
        <v>0</v>
      </c>
      <c r="AL43">
        <f>SUM($K43:T43)</f>
        <v>0</v>
      </c>
      <c r="AM43">
        <f>SUM($K43:U43)</f>
        <v>0</v>
      </c>
      <c r="AN43">
        <f>SUM($K43:V43)</f>
        <v>0</v>
      </c>
      <c r="AO43">
        <f>SUM($K43:W43)</f>
        <v>0</v>
      </c>
      <c r="AP43">
        <f>SUM($K43:X43)</f>
        <v>0</v>
      </c>
      <c r="AQ43">
        <f>SUM($K43:Y43)</f>
        <v>0</v>
      </c>
      <c r="AR43" t="str">
        <f t="shared" si="3"/>
        <v>ОТКРЫТО</v>
      </c>
      <c r="AS43" t="str">
        <f t="shared" si="4"/>
        <v>ОТКРЫТО</v>
      </c>
      <c r="AT43" t="str">
        <f t="shared" si="5"/>
        <v>ОТКРЫТО</v>
      </c>
      <c r="AU43" t="str">
        <f t="shared" si="6"/>
        <v>ОТКРЫТО</v>
      </c>
      <c r="AV43" t="str">
        <f t="shared" si="7"/>
        <v>ОТКРЫТО</v>
      </c>
      <c r="AW43" t="str">
        <f t="shared" si="8"/>
        <v>ОТКРЫТО</v>
      </c>
      <c r="AX43" t="str">
        <f t="shared" si="9"/>
        <v>ОТКРЫТО</v>
      </c>
      <c r="AY43" t="str">
        <f t="shared" si="10"/>
        <v>ОТКРЫТО</v>
      </c>
      <c r="AZ43" t="str">
        <f t="shared" si="11"/>
        <v>ОТКРЫТО</v>
      </c>
      <c r="BA43" t="str">
        <f t="shared" si="12"/>
        <v>ОТКРЫТО</v>
      </c>
      <c r="BB43" t="str">
        <f t="shared" si="13"/>
        <v>ОТКРЫТО</v>
      </c>
      <c r="BC43" t="str">
        <f t="shared" si="14"/>
        <v>ОТКРЫТО</v>
      </c>
      <c r="BD43" t="str">
        <f t="shared" si="15"/>
        <v>ОТКРЫТО</v>
      </c>
      <c r="BE43" t="str">
        <f t="shared" si="16"/>
        <v>ОТКРЫТО</v>
      </c>
      <c r="BF43" t="str">
        <f t="shared" si="17"/>
        <v>ОТКРЫТО</v>
      </c>
      <c r="BG43" t="str">
        <f t="shared" si="18"/>
        <v/>
      </c>
      <c r="BH43" t="str">
        <f t="shared" si="19"/>
        <v/>
      </c>
    </row>
    <row r="44" spans="1:60" ht="156.75">
      <c r="A44" s="3" t="s">
        <v>209</v>
      </c>
      <c r="B44" s="3" t="s">
        <v>197</v>
      </c>
      <c r="C44" s="3" t="s">
        <v>82</v>
      </c>
      <c r="D44" s="3" t="s">
        <v>210</v>
      </c>
      <c r="E44" s="3">
        <v>65</v>
      </c>
      <c r="F44" s="3" t="s">
        <v>201</v>
      </c>
      <c r="G44" s="3" t="s">
        <v>205</v>
      </c>
      <c r="H44" s="3"/>
      <c r="I44" s="3" t="s">
        <v>211</v>
      </c>
      <c r="J44" s="3" t="s">
        <v>212</v>
      </c>
      <c r="K44" s="4">
        <f>SUMIF('Ход 2026'!$G$29:$G$38,$A44,'Ход 2026'!$I$29:$I$38)*(1+'Эффекты технологий'!J$7)</f>
        <v>10</v>
      </c>
      <c r="L44" s="4">
        <f>SUMIF('Ход 2027'!$G$29:$G$38,$A44,'Ход 2027'!$I$29:$I$38)*(1+'Эффекты технологий'!K$7)</f>
        <v>0</v>
      </c>
      <c r="M44" s="4">
        <f>SUMIF('Ход 2028'!$G$29:$G$38,$A44,'Ход 2028'!$I$29:$I$38)*(1+'Эффекты технологий'!L$7)</f>
        <v>0</v>
      </c>
      <c r="N44" s="4">
        <f>SUMIF('Ход 2029'!$G$29:$G$38,$A44,'Ход 2029'!$I$29:$I$38)*(1+'Эффекты технологий'!M$7)</f>
        <v>0</v>
      </c>
      <c r="O44" s="4">
        <f>SUMIF('Ход 2030'!$G$29:$G$38,$A44,'Ход 2030'!$I$29:$I$38)*(1+'Эффекты технологий'!N$7)</f>
        <v>0</v>
      </c>
      <c r="P44" s="4">
        <f>SUMIF('Ход 2031'!$G$29:$G$38,$A44,'Ход 2031'!$I$29:$I$38)*(1+'Эффекты технологий'!O$7)</f>
        <v>0</v>
      </c>
      <c r="Q44" s="4">
        <f>SUMIF('Ход 2032'!$G$29:$G$38,$A44,'Ход 2032'!$I$29:$I$38)*(1+'Эффекты технологий'!P$7)</f>
        <v>0</v>
      </c>
      <c r="R44" s="4">
        <f>SUMIF('Ход 2033'!$G$29:$G$38,$A44,'Ход 2033'!$I$29:$I$38)*(1+'Эффекты технологий'!Q$7)</f>
        <v>0</v>
      </c>
      <c r="S44" s="4">
        <f>SUMIF('Ход 2034'!$G$29:$G$38,$A44,'Ход 2034'!$I$29:$I$38)*(1+'Эффекты технологий'!R$7)</f>
        <v>0</v>
      </c>
      <c r="T44" s="4">
        <f>SUMIF('Ход 2035'!$G$29:$G$38,$A44,'Ход 2035'!$I$29:$I$38)*(1+'Эффекты технологий'!S$7)</f>
        <v>0</v>
      </c>
      <c r="U44" s="4">
        <f>SUMIF('Ход 2036'!$G$29:$G$38,$A44,'Ход 2036'!$I$29:$I$38)*(1+'Эффекты технологий'!T$7)</f>
        <v>0</v>
      </c>
      <c r="V44" s="4">
        <f>SUMIF('Ход 2037'!$G$29:$G$38,$A44,'Ход 2037'!$I$29:$I$38)*(1+'Эффекты технологий'!U$7)</f>
        <v>0</v>
      </c>
      <c r="W44" s="4">
        <f>SUMIF('Ход 2038'!$G$29:$G$38,$A44,'Ход 2038'!$I$29:$I$38)*(1+'Эффекты технологий'!V$7)</f>
        <v>0</v>
      </c>
      <c r="X44" s="4">
        <f>SUMIF('Ход 2039'!$G$29:$G$38,$A44,'Ход 2039'!$I$29:$I$38)*(1+'Эффекты технологий'!W$7)</f>
        <v>0</v>
      </c>
      <c r="Y44" s="4">
        <f>SUMIF('Ход 2040'!$G$29:$G$38,$A44,'Ход 2040'!$I$29:$I$38)*(1+'Эффекты технологий'!X$7)</f>
        <v>0</v>
      </c>
      <c r="Z44" s="5">
        <f t="shared" si="0"/>
        <v>10</v>
      </c>
      <c r="AA44" s="5">
        <f t="shared" si="1"/>
        <v>55</v>
      </c>
      <c r="AB44" s="3" t="str">
        <f t="shared" si="2"/>
        <v>ОТКРЫТО</v>
      </c>
      <c r="AC44">
        <f>SUM($K44:K44)</f>
        <v>10</v>
      </c>
      <c r="AD44">
        <f>SUM($K44:L44)</f>
        <v>10</v>
      </c>
      <c r="AE44">
        <f>SUM($K44:M44)</f>
        <v>10</v>
      </c>
      <c r="AF44">
        <f>SUM($K44:N44)</f>
        <v>10</v>
      </c>
      <c r="AG44">
        <f>SUM($K44:O44)</f>
        <v>10</v>
      </c>
      <c r="AH44">
        <f>SUM($K44:P44)</f>
        <v>10</v>
      </c>
      <c r="AI44">
        <f>SUM($K44:Q44)</f>
        <v>10</v>
      </c>
      <c r="AJ44">
        <f>SUM($K44:R44)</f>
        <v>10</v>
      </c>
      <c r="AK44">
        <f>SUM($K44:S44)</f>
        <v>10</v>
      </c>
      <c r="AL44">
        <f>SUM($K44:T44)</f>
        <v>10</v>
      </c>
      <c r="AM44">
        <f>SUM($K44:U44)</f>
        <v>10</v>
      </c>
      <c r="AN44">
        <f>SUM($K44:V44)</f>
        <v>10</v>
      </c>
      <c r="AO44">
        <f>SUM($K44:W44)</f>
        <v>10</v>
      </c>
      <c r="AP44">
        <f>SUM($K44:X44)</f>
        <v>10</v>
      </c>
      <c r="AQ44">
        <f>SUM($K44:Y44)</f>
        <v>10</v>
      </c>
      <c r="AR44" t="str">
        <f t="shared" si="3"/>
        <v>ОТКРЫТО</v>
      </c>
      <c r="AS44" t="str">
        <f t="shared" si="4"/>
        <v>ОТКРЫТО</v>
      </c>
      <c r="AT44" t="str">
        <f t="shared" si="5"/>
        <v>ОТКРЫТО</v>
      </c>
      <c r="AU44" t="str">
        <f t="shared" si="6"/>
        <v>ОТКРЫТО</v>
      </c>
      <c r="AV44" t="str">
        <f t="shared" si="7"/>
        <v>ОТКРЫТО</v>
      </c>
      <c r="AW44" t="str">
        <f t="shared" si="8"/>
        <v>ОТКРЫТО</v>
      </c>
      <c r="AX44" t="str">
        <f t="shared" si="9"/>
        <v>ОТКРЫТО</v>
      </c>
      <c r="AY44" t="str">
        <f t="shared" si="10"/>
        <v>ОТКРЫТО</v>
      </c>
      <c r="AZ44" t="str">
        <f t="shared" si="11"/>
        <v>ОТКРЫТО</v>
      </c>
      <c r="BA44" t="str">
        <f t="shared" si="12"/>
        <v>ОТКРЫТО</v>
      </c>
      <c r="BB44" t="str">
        <f t="shared" si="13"/>
        <v>ОТКРЫТО</v>
      </c>
      <c r="BC44" t="str">
        <f t="shared" si="14"/>
        <v>ОТКРЫТО</v>
      </c>
      <c r="BD44" t="str">
        <f t="shared" si="15"/>
        <v>ОТКРЫТО</v>
      </c>
      <c r="BE44" t="str">
        <f t="shared" si="16"/>
        <v>ОТКРЫТО</v>
      </c>
      <c r="BF44" t="str">
        <f t="shared" si="17"/>
        <v>ОТКРЫТО</v>
      </c>
      <c r="BG44" t="str">
        <f t="shared" si="18"/>
        <v/>
      </c>
      <c r="BH44" t="str">
        <f t="shared" si="19"/>
        <v/>
      </c>
    </row>
    <row r="45" spans="1:60" ht="199.5">
      <c r="A45" s="3" t="s">
        <v>213</v>
      </c>
      <c r="B45" s="3" t="s">
        <v>197</v>
      </c>
      <c r="C45" s="3" t="s">
        <v>87</v>
      </c>
      <c r="D45" s="3" t="s">
        <v>214</v>
      </c>
      <c r="E45" s="3">
        <v>100</v>
      </c>
      <c r="F45" s="3" t="s">
        <v>209</v>
      </c>
      <c r="G45" s="3"/>
      <c r="H45" s="3"/>
      <c r="I45" s="3" t="s">
        <v>215</v>
      </c>
      <c r="J45" s="3" t="s">
        <v>216</v>
      </c>
      <c r="K45" s="4">
        <f>SUMIF('Ход 2026'!$G$29:$G$38,$A45,'Ход 2026'!$I$29:$I$38)*(1+'Эффекты технологий'!J$7)</f>
        <v>0</v>
      </c>
      <c r="L45" s="4">
        <f>SUMIF('Ход 2027'!$G$29:$G$38,$A45,'Ход 2027'!$I$29:$I$38)*(1+'Эффекты технологий'!K$7)</f>
        <v>0</v>
      </c>
      <c r="M45" s="4">
        <f>SUMIF('Ход 2028'!$G$29:$G$38,$A45,'Ход 2028'!$I$29:$I$38)*(1+'Эффекты технологий'!L$7)</f>
        <v>0</v>
      </c>
      <c r="N45" s="4">
        <f>SUMIF('Ход 2029'!$G$29:$G$38,$A45,'Ход 2029'!$I$29:$I$38)*(1+'Эффекты технологий'!M$7)</f>
        <v>0</v>
      </c>
      <c r="O45" s="4">
        <f>SUMIF('Ход 2030'!$G$29:$G$38,$A45,'Ход 2030'!$I$29:$I$38)*(1+'Эффекты технологий'!N$7)</f>
        <v>0</v>
      </c>
      <c r="P45" s="4">
        <f>SUMIF('Ход 2031'!$G$29:$G$38,$A45,'Ход 2031'!$I$29:$I$38)*(1+'Эффекты технологий'!O$7)</f>
        <v>0</v>
      </c>
      <c r="Q45" s="4">
        <f>SUMIF('Ход 2032'!$G$29:$G$38,$A45,'Ход 2032'!$I$29:$I$38)*(1+'Эффекты технологий'!P$7)</f>
        <v>0</v>
      </c>
      <c r="R45" s="4">
        <f>SUMIF('Ход 2033'!$G$29:$G$38,$A45,'Ход 2033'!$I$29:$I$38)*(1+'Эффекты технологий'!Q$7)</f>
        <v>0</v>
      </c>
      <c r="S45" s="4">
        <f>SUMIF('Ход 2034'!$G$29:$G$38,$A45,'Ход 2034'!$I$29:$I$38)*(1+'Эффекты технологий'!R$7)</f>
        <v>0</v>
      </c>
      <c r="T45" s="4">
        <f>SUMIF('Ход 2035'!$G$29:$G$38,$A45,'Ход 2035'!$I$29:$I$38)*(1+'Эффекты технологий'!S$7)</f>
        <v>0</v>
      </c>
      <c r="U45" s="4">
        <f>SUMIF('Ход 2036'!$G$29:$G$38,$A45,'Ход 2036'!$I$29:$I$38)*(1+'Эффекты технологий'!T$7)</f>
        <v>0</v>
      </c>
      <c r="V45" s="4">
        <f>SUMIF('Ход 2037'!$G$29:$G$38,$A45,'Ход 2037'!$I$29:$I$38)*(1+'Эффекты технологий'!U$7)</f>
        <v>0</v>
      </c>
      <c r="W45" s="4">
        <f>SUMIF('Ход 2038'!$G$29:$G$38,$A45,'Ход 2038'!$I$29:$I$38)*(1+'Эффекты технологий'!V$7)</f>
        <v>0</v>
      </c>
      <c r="X45" s="4">
        <f>SUMIF('Ход 2039'!$G$29:$G$38,$A45,'Ход 2039'!$I$29:$I$38)*(1+'Эффекты технологий'!W$7)</f>
        <v>0</v>
      </c>
      <c r="Y45" s="4">
        <f>SUMIF('Ход 2040'!$G$29:$G$38,$A45,'Ход 2040'!$I$29:$I$38)*(1+'Эффекты технологий'!X$7)</f>
        <v>0</v>
      </c>
      <c r="Z45" s="5">
        <f t="shared" si="0"/>
        <v>0</v>
      </c>
      <c r="AA45" s="5">
        <f t="shared" si="1"/>
        <v>100</v>
      </c>
      <c r="AB45" s="3" t="str">
        <f t="shared" si="2"/>
        <v>ОТКРЫТО</v>
      </c>
      <c r="AC45">
        <f>SUM($K45:K45)</f>
        <v>0</v>
      </c>
      <c r="AD45">
        <f>SUM($K45:L45)</f>
        <v>0</v>
      </c>
      <c r="AE45">
        <f>SUM($K45:M45)</f>
        <v>0</v>
      </c>
      <c r="AF45">
        <f>SUM($K45:N45)</f>
        <v>0</v>
      </c>
      <c r="AG45">
        <f>SUM($K45:O45)</f>
        <v>0</v>
      </c>
      <c r="AH45">
        <f>SUM($K45:P45)</f>
        <v>0</v>
      </c>
      <c r="AI45">
        <f>SUM($K45:Q45)</f>
        <v>0</v>
      </c>
      <c r="AJ45">
        <f>SUM($K45:R45)</f>
        <v>0</v>
      </c>
      <c r="AK45">
        <f>SUM($K45:S45)</f>
        <v>0</v>
      </c>
      <c r="AL45">
        <f>SUM($K45:T45)</f>
        <v>0</v>
      </c>
      <c r="AM45">
        <f>SUM($K45:U45)</f>
        <v>0</v>
      </c>
      <c r="AN45">
        <f>SUM($K45:V45)</f>
        <v>0</v>
      </c>
      <c r="AO45">
        <f>SUM($K45:W45)</f>
        <v>0</v>
      </c>
      <c r="AP45">
        <f>SUM($K45:X45)</f>
        <v>0</v>
      </c>
      <c r="AQ45">
        <f>SUM($K45:Y45)</f>
        <v>0</v>
      </c>
      <c r="AR45" t="str">
        <f t="shared" si="3"/>
        <v>ОТКРЫТО</v>
      </c>
      <c r="AS45" t="str">
        <f t="shared" si="4"/>
        <v>ОТКРЫТО</v>
      </c>
      <c r="AT45" t="str">
        <f t="shared" si="5"/>
        <v>ОТКРЫТО</v>
      </c>
      <c r="AU45" t="str">
        <f t="shared" si="6"/>
        <v>ОТКРЫТО</v>
      </c>
      <c r="AV45" t="str">
        <f t="shared" si="7"/>
        <v>ОТКРЫТО</v>
      </c>
      <c r="AW45" t="str">
        <f t="shared" si="8"/>
        <v>ОТКРЫТО</v>
      </c>
      <c r="AX45" t="str">
        <f t="shared" si="9"/>
        <v>ОТКРЫТО</v>
      </c>
      <c r="AY45" t="str">
        <f t="shared" si="10"/>
        <v>ОТКРЫТО</v>
      </c>
      <c r="AZ45" t="str">
        <f t="shared" si="11"/>
        <v>ОТКРЫТО</v>
      </c>
      <c r="BA45" t="str">
        <f t="shared" si="12"/>
        <v>ОТКРЫТО</v>
      </c>
      <c r="BB45" t="str">
        <f t="shared" si="13"/>
        <v>ОТКРЫТО</v>
      </c>
      <c r="BC45" t="str">
        <f t="shared" si="14"/>
        <v>ОТКРЫТО</v>
      </c>
      <c r="BD45" t="str">
        <f t="shared" si="15"/>
        <v>ОТКРЫТО</v>
      </c>
      <c r="BE45" t="str">
        <f t="shared" si="16"/>
        <v>ОТКРЫТО</v>
      </c>
      <c r="BF45" t="str">
        <f t="shared" si="17"/>
        <v>ОТКРЫТО</v>
      </c>
      <c r="BG45" t="str">
        <f t="shared" si="18"/>
        <v/>
      </c>
      <c r="BH45" t="str">
        <f t="shared" si="19"/>
        <v/>
      </c>
    </row>
    <row r="46" spans="1:60" ht="185.25">
      <c r="A46" s="3" t="s">
        <v>217</v>
      </c>
      <c r="B46" s="3" t="s">
        <v>197</v>
      </c>
      <c r="C46" s="3" t="s">
        <v>92</v>
      </c>
      <c r="D46" s="3" t="s">
        <v>218</v>
      </c>
      <c r="E46" s="3">
        <v>150</v>
      </c>
      <c r="F46" s="3" t="s">
        <v>213</v>
      </c>
      <c r="G46" s="3"/>
      <c r="H46" s="3"/>
      <c r="I46" s="3" t="s">
        <v>219</v>
      </c>
      <c r="J46" s="3" t="s">
        <v>220</v>
      </c>
      <c r="K46" s="4">
        <f>SUMIF('Ход 2026'!$G$29:$G$38,$A46,'Ход 2026'!$I$29:$I$38)*(1+'Эффекты технологий'!J$7)</f>
        <v>0</v>
      </c>
      <c r="L46" s="4">
        <f>SUMIF('Ход 2027'!$G$29:$G$38,$A46,'Ход 2027'!$I$29:$I$38)*(1+'Эффекты технологий'!K$7)</f>
        <v>0</v>
      </c>
      <c r="M46" s="4">
        <f>SUMIF('Ход 2028'!$G$29:$G$38,$A46,'Ход 2028'!$I$29:$I$38)*(1+'Эффекты технологий'!L$7)</f>
        <v>0</v>
      </c>
      <c r="N46" s="4">
        <f>SUMIF('Ход 2029'!$G$29:$G$38,$A46,'Ход 2029'!$I$29:$I$38)*(1+'Эффекты технологий'!M$7)</f>
        <v>0</v>
      </c>
      <c r="O46" s="4">
        <f>SUMIF('Ход 2030'!$G$29:$G$38,$A46,'Ход 2030'!$I$29:$I$38)*(1+'Эффекты технологий'!N$7)</f>
        <v>0</v>
      </c>
      <c r="P46" s="4">
        <f>SUMIF('Ход 2031'!$G$29:$G$38,$A46,'Ход 2031'!$I$29:$I$38)*(1+'Эффекты технологий'!O$7)</f>
        <v>0</v>
      </c>
      <c r="Q46" s="4">
        <f>SUMIF('Ход 2032'!$G$29:$G$38,$A46,'Ход 2032'!$I$29:$I$38)*(1+'Эффекты технологий'!P$7)</f>
        <v>0</v>
      </c>
      <c r="R46" s="4">
        <f>SUMIF('Ход 2033'!$G$29:$G$38,$A46,'Ход 2033'!$I$29:$I$38)*(1+'Эффекты технологий'!Q$7)</f>
        <v>0</v>
      </c>
      <c r="S46" s="4">
        <f>SUMIF('Ход 2034'!$G$29:$G$38,$A46,'Ход 2034'!$I$29:$I$38)*(1+'Эффекты технологий'!R$7)</f>
        <v>0</v>
      </c>
      <c r="T46" s="4">
        <f>SUMIF('Ход 2035'!$G$29:$G$38,$A46,'Ход 2035'!$I$29:$I$38)*(1+'Эффекты технологий'!S$7)</f>
        <v>0</v>
      </c>
      <c r="U46" s="4">
        <f>SUMIF('Ход 2036'!$G$29:$G$38,$A46,'Ход 2036'!$I$29:$I$38)*(1+'Эффекты технологий'!T$7)</f>
        <v>0</v>
      </c>
      <c r="V46" s="4">
        <f>SUMIF('Ход 2037'!$G$29:$G$38,$A46,'Ход 2037'!$I$29:$I$38)*(1+'Эффекты технологий'!U$7)</f>
        <v>0</v>
      </c>
      <c r="W46" s="4">
        <f>SUMIF('Ход 2038'!$G$29:$G$38,$A46,'Ход 2038'!$I$29:$I$38)*(1+'Эффекты технологий'!V$7)</f>
        <v>0</v>
      </c>
      <c r="X46" s="4">
        <f>SUMIF('Ход 2039'!$G$29:$G$38,$A46,'Ход 2039'!$I$29:$I$38)*(1+'Эффекты технологий'!W$7)</f>
        <v>0</v>
      </c>
      <c r="Y46" s="4">
        <f>SUMIF('Ход 2040'!$G$29:$G$38,$A46,'Ход 2040'!$I$29:$I$38)*(1+'Эффекты технологий'!X$7)</f>
        <v>0</v>
      </c>
      <c r="Z46" s="5">
        <f t="shared" si="0"/>
        <v>0</v>
      </c>
      <c r="AA46" s="5">
        <f t="shared" si="1"/>
        <v>150</v>
      </c>
      <c r="AB46" s="3" t="str">
        <f t="shared" si="2"/>
        <v>ОТКРЫТО</v>
      </c>
      <c r="AC46">
        <f>SUM($K46:K46)</f>
        <v>0</v>
      </c>
      <c r="AD46">
        <f>SUM($K46:L46)</f>
        <v>0</v>
      </c>
      <c r="AE46">
        <f>SUM($K46:M46)</f>
        <v>0</v>
      </c>
      <c r="AF46">
        <f>SUM($K46:N46)</f>
        <v>0</v>
      </c>
      <c r="AG46">
        <f>SUM($K46:O46)</f>
        <v>0</v>
      </c>
      <c r="AH46">
        <f>SUM($K46:P46)</f>
        <v>0</v>
      </c>
      <c r="AI46">
        <f>SUM($K46:Q46)</f>
        <v>0</v>
      </c>
      <c r="AJ46">
        <f>SUM($K46:R46)</f>
        <v>0</v>
      </c>
      <c r="AK46">
        <f>SUM($K46:S46)</f>
        <v>0</v>
      </c>
      <c r="AL46">
        <f>SUM($K46:T46)</f>
        <v>0</v>
      </c>
      <c r="AM46">
        <f>SUM($K46:U46)</f>
        <v>0</v>
      </c>
      <c r="AN46">
        <f>SUM($K46:V46)</f>
        <v>0</v>
      </c>
      <c r="AO46">
        <f>SUM($K46:W46)</f>
        <v>0</v>
      </c>
      <c r="AP46">
        <f>SUM($K46:X46)</f>
        <v>0</v>
      </c>
      <c r="AQ46">
        <f>SUM($K46:Y46)</f>
        <v>0</v>
      </c>
      <c r="AR46" t="str">
        <f t="shared" si="3"/>
        <v>ОТКРЫТО</v>
      </c>
      <c r="AS46" t="str">
        <f t="shared" si="4"/>
        <v>ОТКРЫТО</v>
      </c>
      <c r="AT46" t="str">
        <f t="shared" si="5"/>
        <v>ОТКРЫТО</v>
      </c>
      <c r="AU46" t="str">
        <f t="shared" si="6"/>
        <v>ОТКРЫТО</v>
      </c>
      <c r="AV46" t="str">
        <f t="shared" si="7"/>
        <v>ОТКРЫТО</v>
      </c>
      <c r="AW46" t="str">
        <f t="shared" si="8"/>
        <v>ОТКРЫТО</v>
      </c>
      <c r="AX46" t="str">
        <f t="shared" si="9"/>
        <v>ОТКРЫТО</v>
      </c>
      <c r="AY46" t="str">
        <f t="shared" si="10"/>
        <v>ОТКРЫТО</v>
      </c>
      <c r="AZ46" t="str">
        <f t="shared" si="11"/>
        <v>ОТКРЫТО</v>
      </c>
      <c r="BA46" t="str">
        <f t="shared" si="12"/>
        <v>ОТКРЫТО</v>
      </c>
      <c r="BB46" t="str">
        <f t="shared" si="13"/>
        <v>ОТКРЫТО</v>
      </c>
      <c r="BC46" t="str">
        <f t="shared" si="14"/>
        <v>ОТКРЫТО</v>
      </c>
      <c r="BD46" t="str">
        <f t="shared" si="15"/>
        <v>ОТКРЫТО</v>
      </c>
      <c r="BE46" t="str">
        <f t="shared" si="16"/>
        <v>ОТКРЫТО</v>
      </c>
      <c r="BF46" t="str">
        <f t="shared" si="17"/>
        <v>ОТКРЫТО</v>
      </c>
      <c r="BG46" t="str">
        <f t="shared" si="18"/>
        <v/>
      </c>
      <c r="BH46" t="str">
        <f t="shared" si="19"/>
        <v/>
      </c>
    </row>
    <row r="47" spans="1:60" ht="171">
      <c r="A47" s="3" t="s">
        <v>221</v>
      </c>
      <c r="B47" s="3" t="s">
        <v>222</v>
      </c>
      <c r="C47" s="3" t="s">
        <v>87</v>
      </c>
      <c r="D47" s="3" t="s">
        <v>223</v>
      </c>
      <c r="E47" s="3">
        <v>100</v>
      </c>
      <c r="F47" s="3" t="s">
        <v>109</v>
      </c>
      <c r="G47" s="3" t="s">
        <v>134</v>
      </c>
      <c r="H47" s="3" t="s">
        <v>155</v>
      </c>
      <c r="I47" s="3" t="s">
        <v>224</v>
      </c>
      <c r="J47" s="3" t="s">
        <v>225</v>
      </c>
      <c r="K47" s="4">
        <f>SUMIF('Ход 2026'!$G$29:$G$38,$A47,'Ход 2026'!$I$29:$I$38)*(1+'Эффекты технологий'!J$7+'Эффекты технологий'!J$9)</f>
        <v>0</v>
      </c>
      <c r="L47" s="4">
        <f>SUMIF('Ход 2027'!$G$29:$G$38,$A47,'Ход 2027'!$I$29:$I$38)*(1+'Эффекты технологий'!K$7+'Эффекты технологий'!K$9)</f>
        <v>0</v>
      </c>
      <c r="M47" s="4">
        <f>SUMIF('Ход 2028'!$G$29:$G$38,$A47,'Ход 2028'!$I$29:$I$38)*(1+'Эффекты технологий'!L$7+'Эффекты технологий'!L$9)</f>
        <v>0</v>
      </c>
      <c r="N47" s="4">
        <f>SUMIF('Ход 2029'!$G$29:$G$38,$A47,'Ход 2029'!$I$29:$I$38)*(1+'Эффекты технологий'!M$7+'Эффекты технологий'!M$9)</f>
        <v>0</v>
      </c>
      <c r="O47" s="4">
        <f>SUMIF('Ход 2030'!$G$29:$G$38,$A47,'Ход 2030'!$I$29:$I$38)*(1+'Эффекты технологий'!N$7+'Эффекты технологий'!N$9)</f>
        <v>0</v>
      </c>
      <c r="P47" s="4">
        <f>SUMIF('Ход 2031'!$G$29:$G$38,$A47,'Ход 2031'!$I$29:$I$38)*(1+'Эффекты технологий'!O$7+'Эффекты технологий'!O$9)</f>
        <v>0</v>
      </c>
      <c r="Q47" s="4">
        <f>SUMIF('Ход 2032'!$G$29:$G$38,$A47,'Ход 2032'!$I$29:$I$38)*(1+'Эффекты технологий'!P$7+'Эффекты технологий'!P$9)</f>
        <v>0</v>
      </c>
      <c r="R47" s="4">
        <f>SUMIF('Ход 2033'!$G$29:$G$38,$A47,'Ход 2033'!$I$29:$I$38)*(1+'Эффекты технологий'!Q$7+'Эффекты технологий'!Q$9)</f>
        <v>0</v>
      </c>
      <c r="S47" s="4">
        <f>SUMIF('Ход 2034'!$G$29:$G$38,$A47,'Ход 2034'!$I$29:$I$38)*(1+'Эффекты технологий'!R$7+'Эффекты технологий'!R$9)</f>
        <v>0</v>
      </c>
      <c r="T47" s="4">
        <f>SUMIF('Ход 2035'!$G$29:$G$38,$A47,'Ход 2035'!$I$29:$I$38)*(1+'Эффекты технологий'!S$7+'Эффекты технологий'!S$9)</f>
        <v>0</v>
      </c>
      <c r="U47" s="4">
        <f>SUMIF('Ход 2036'!$G$29:$G$38,$A47,'Ход 2036'!$I$29:$I$38)*(1+'Эффекты технологий'!T$7+'Эффекты технологий'!T$9)</f>
        <v>0</v>
      </c>
      <c r="V47" s="4">
        <f>SUMIF('Ход 2037'!$G$29:$G$38,$A47,'Ход 2037'!$I$29:$I$38)*(1+'Эффекты технологий'!U$7+'Эффекты технологий'!U$9)</f>
        <v>0</v>
      </c>
      <c r="W47" s="4">
        <f>SUMIF('Ход 2038'!$G$29:$G$38,$A47,'Ход 2038'!$I$29:$I$38)*(1+'Эффекты технологий'!V$7+'Эффекты технологий'!V$9)</f>
        <v>0</v>
      </c>
      <c r="X47" s="4">
        <f>SUMIF('Ход 2039'!$G$29:$G$38,$A47,'Ход 2039'!$I$29:$I$38)*(1+'Эффекты технологий'!W$7+'Эффекты технологий'!W$9)</f>
        <v>0</v>
      </c>
      <c r="Y47" s="4">
        <f>SUMIF('Ход 2040'!$G$29:$G$38,$A47,'Ход 2040'!$I$29:$I$38)*(1+'Эффекты технологий'!X$7+'Эффекты технологий'!X$9)</f>
        <v>0</v>
      </c>
      <c r="Z47" s="5">
        <f t="shared" si="0"/>
        <v>0</v>
      </c>
      <c r="AA47" s="5">
        <f t="shared" si="1"/>
        <v>100</v>
      </c>
      <c r="AB47" s="3" t="str">
        <f t="shared" si="2"/>
        <v>ОТКРЫТО</v>
      </c>
      <c r="AC47">
        <f>SUM($K47:K47)</f>
        <v>0</v>
      </c>
      <c r="AD47">
        <f>SUM($K47:L47)</f>
        <v>0</v>
      </c>
      <c r="AE47">
        <f>SUM($K47:M47)</f>
        <v>0</v>
      </c>
      <c r="AF47">
        <f>SUM($K47:N47)</f>
        <v>0</v>
      </c>
      <c r="AG47">
        <f>SUM($K47:O47)</f>
        <v>0</v>
      </c>
      <c r="AH47">
        <f>SUM($K47:P47)</f>
        <v>0</v>
      </c>
      <c r="AI47">
        <f>SUM($K47:Q47)</f>
        <v>0</v>
      </c>
      <c r="AJ47">
        <f>SUM($K47:R47)</f>
        <v>0</v>
      </c>
      <c r="AK47">
        <f>SUM($K47:S47)</f>
        <v>0</v>
      </c>
      <c r="AL47">
        <f>SUM($K47:T47)</f>
        <v>0</v>
      </c>
      <c r="AM47">
        <f>SUM($K47:U47)</f>
        <v>0</v>
      </c>
      <c r="AN47">
        <f>SUM($K47:V47)</f>
        <v>0</v>
      </c>
      <c r="AO47">
        <f>SUM($K47:W47)</f>
        <v>0</v>
      </c>
      <c r="AP47">
        <f>SUM($K47:X47)</f>
        <v>0</v>
      </c>
      <c r="AQ47">
        <f>SUM($K47:Y47)</f>
        <v>0</v>
      </c>
      <c r="AR47" t="str">
        <f t="shared" si="3"/>
        <v>ОТКРЫТО</v>
      </c>
      <c r="AS47" t="str">
        <f t="shared" si="4"/>
        <v>ОТКРЫТО</v>
      </c>
      <c r="AT47" t="str">
        <f t="shared" si="5"/>
        <v>ОТКРЫТО</v>
      </c>
      <c r="AU47" t="str">
        <f t="shared" si="6"/>
        <v>ОТКРЫТО</v>
      </c>
      <c r="AV47" t="str">
        <f t="shared" si="7"/>
        <v>ОТКРЫТО</v>
      </c>
      <c r="AW47" t="str">
        <f t="shared" si="8"/>
        <v>ОТКРЫТО</v>
      </c>
      <c r="AX47" t="str">
        <f t="shared" si="9"/>
        <v>ОТКРЫТО</v>
      </c>
      <c r="AY47" t="str">
        <f t="shared" si="10"/>
        <v>ОТКРЫТО</v>
      </c>
      <c r="AZ47" t="str">
        <f t="shared" si="11"/>
        <v>ОТКРЫТО</v>
      </c>
      <c r="BA47" t="str">
        <f t="shared" si="12"/>
        <v>ОТКРЫТО</v>
      </c>
      <c r="BB47" t="str">
        <f t="shared" si="13"/>
        <v>ОТКРЫТО</v>
      </c>
      <c r="BC47" t="str">
        <f t="shared" si="14"/>
        <v>ОТКРЫТО</v>
      </c>
      <c r="BD47" t="str">
        <f t="shared" si="15"/>
        <v>ОТКРЫТО</v>
      </c>
      <c r="BE47" t="str">
        <f t="shared" si="16"/>
        <v>ОТКРЫТО</v>
      </c>
      <c r="BF47" t="str">
        <f t="shared" si="17"/>
        <v>ОТКРЫТО</v>
      </c>
      <c r="BG47" t="str">
        <f t="shared" si="18"/>
        <v/>
      </c>
      <c r="BH47" t="str">
        <f t="shared" si="19"/>
        <v/>
      </c>
    </row>
    <row r="48" spans="1:60" ht="156.75">
      <c r="A48" s="3" t="s">
        <v>226</v>
      </c>
      <c r="B48" s="3" t="s">
        <v>222</v>
      </c>
      <c r="C48" s="3" t="s">
        <v>87</v>
      </c>
      <c r="D48" s="3" t="s">
        <v>227</v>
      </c>
      <c r="E48" s="3">
        <v>110</v>
      </c>
      <c r="F48" s="3" t="s">
        <v>81</v>
      </c>
      <c r="G48" s="3" t="s">
        <v>134</v>
      </c>
      <c r="H48" s="3" t="s">
        <v>205</v>
      </c>
      <c r="I48" s="3" t="s">
        <v>228</v>
      </c>
      <c r="J48" s="3" t="s">
        <v>229</v>
      </c>
      <c r="K48" s="4">
        <f>SUMIF('Ход 2026'!$G$29:$G$38,$A48,'Ход 2026'!$I$29:$I$38)*(1+'Эффекты технологий'!J$7+'Эффекты технологий'!J$9)</f>
        <v>4</v>
      </c>
      <c r="L48" s="4">
        <f>SUMIF('Ход 2027'!$G$29:$G$38,$A48,'Ход 2027'!$I$29:$I$38)*(1+'Эффекты технологий'!K$7+'Эффекты технологий'!K$9)</f>
        <v>0</v>
      </c>
      <c r="M48" s="4">
        <f>SUMIF('Ход 2028'!$G$29:$G$38,$A48,'Ход 2028'!$I$29:$I$38)*(1+'Эффекты технологий'!L$7+'Эффекты технологий'!L$9)</f>
        <v>0</v>
      </c>
      <c r="N48" s="4">
        <f>SUMIF('Ход 2029'!$G$29:$G$38,$A48,'Ход 2029'!$I$29:$I$38)*(1+'Эффекты технологий'!M$7+'Эффекты технологий'!M$9)</f>
        <v>0</v>
      </c>
      <c r="O48" s="4">
        <f>SUMIF('Ход 2030'!$G$29:$G$38,$A48,'Ход 2030'!$I$29:$I$38)*(1+'Эффекты технологий'!N$7+'Эффекты технологий'!N$9)</f>
        <v>0</v>
      </c>
      <c r="P48" s="4">
        <f>SUMIF('Ход 2031'!$G$29:$G$38,$A48,'Ход 2031'!$I$29:$I$38)*(1+'Эффекты технологий'!O$7+'Эффекты технологий'!O$9)</f>
        <v>0</v>
      </c>
      <c r="Q48" s="4">
        <f>SUMIF('Ход 2032'!$G$29:$G$38,$A48,'Ход 2032'!$I$29:$I$38)*(1+'Эффекты технологий'!P$7+'Эффекты технологий'!P$9)</f>
        <v>0</v>
      </c>
      <c r="R48" s="4">
        <f>SUMIF('Ход 2033'!$G$29:$G$38,$A48,'Ход 2033'!$I$29:$I$38)*(1+'Эффекты технологий'!Q$7+'Эффекты технологий'!Q$9)</f>
        <v>0</v>
      </c>
      <c r="S48" s="4">
        <f>SUMIF('Ход 2034'!$G$29:$G$38,$A48,'Ход 2034'!$I$29:$I$38)*(1+'Эффекты технологий'!R$7+'Эффекты технологий'!R$9)</f>
        <v>0</v>
      </c>
      <c r="T48" s="4">
        <f>SUMIF('Ход 2035'!$G$29:$G$38,$A48,'Ход 2035'!$I$29:$I$38)*(1+'Эффекты технологий'!S$7+'Эффекты технологий'!S$9)</f>
        <v>0</v>
      </c>
      <c r="U48" s="4">
        <f>SUMIF('Ход 2036'!$G$29:$G$38,$A48,'Ход 2036'!$I$29:$I$38)*(1+'Эффекты технологий'!T$7+'Эффекты технологий'!T$9)</f>
        <v>0</v>
      </c>
      <c r="V48" s="4">
        <f>SUMIF('Ход 2037'!$G$29:$G$38,$A48,'Ход 2037'!$I$29:$I$38)*(1+'Эффекты технологий'!U$7+'Эффекты технологий'!U$9)</f>
        <v>0</v>
      </c>
      <c r="W48" s="4">
        <f>SUMIF('Ход 2038'!$G$29:$G$38,$A48,'Ход 2038'!$I$29:$I$38)*(1+'Эффекты технологий'!V$7+'Эффекты технологий'!V$9)</f>
        <v>0</v>
      </c>
      <c r="X48" s="4">
        <f>SUMIF('Ход 2039'!$G$29:$G$38,$A48,'Ход 2039'!$I$29:$I$38)*(1+'Эффекты технологий'!W$7+'Эффекты технологий'!W$9)</f>
        <v>0</v>
      </c>
      <c r="Y48" s="4">
        <f>SUMIF('Ход 2040'!$G$29:$G$38,$A48,'Ход 2040'!$I$29:$I$38)*(1+'Эффекты технологий'!X$7+'Эффекты технологий'!X$9)</f>
        <v>0</v>
      </c>
      <c r="Z48" s="5">
        <f t="shared" si="0"/>
        <v>4</v>
      </c>
      <c r="AA48" s="5">
        <f t="shared" si="1"/>
        <v>106</v>
      </c>
      <c r="AB48" s="3" t="str">
        <f t="shared" si="2"/>
        <v>ОТКРЫТО</v>
      </c>
      <c r="AC48">
        <f>SUM($K48:K48)</f>
        <v>4</v>
      </c>
      <c r="AD48">
        <f>SUM($K48:L48)</f>
        <v>4</v>
      </c>
      <c r="AE48">
        <f>SUM($K48:M48)</f>
        <v>4</v>
      </c>
      <c r="AF48">
        <f>SUM($K48:N48)</f>
        <v>4</v>
      </c>
      <c r="AG48">
        <f>SUM($K48:O48)</f>
        <v>4</v>
      </c>
      <c r="AH48">
        <f>SUM($K48:P48)</f>
        <v>4</v>
      </c>
      <c r="AI48">
        <f>SUM($K48:Q48)</f>
        <v>4</v>
      </c>
      <c r="AJ48">
        <f>SUM($K48:R48)</f>
        <v>4</v>
      </c>
      <c r="AK48">
        <f>SUM($K48:S48)</f>
        <v>4</v>
      </c>
      <c r="AL48">
        <f>SUM($K48:T48)</f>
        <v>4</v>
      </c>
      <c r="AM48">
        <f>SUM($K48:U48)</f>
        <v>4</v>
      </c>
      <c r="AN48">
        <f>SUM($K48:V48)</f>
        <v>4</v>
      </c>
      <c r="AO48">
        <f>SUM($K48:W48)</f>
        <v>4</v>
      </c>
      <c r="AP48">
        <f>SUM($K48:X48)</f>
        <v>4</v>
      </c>
      <c r="AQ48">
        <f>SUM($K48:Y48)</f>
        <v>4</v>
      </c>
      <c r="AR48" t="str">
        <f t="shared" si="3"/>
        <v>ОТКРЫТО</v>
      </c>
      <c r="AS48" t="str">
        <f t="shared" si="4"/>
        <v>ОТКРЫТО</v>
      </c>
      <c r="AT48" t="str">
        <f t="shared" si="5"/>
        <v>ОТКРЫТО</v>
      </c>
      <c r="AU48" t="str">
        <f t="shared" si="6"/>
        <v>ОТКРЫТО</v>
      </c>
      <c r="AV48" t="str">
        <f t="shared" si="7"/>
        <v>ОТКРЫТО</v>
      </c>
      <c r="AW48" t="str">
        <f t="shared" si="8"/>
        <v>ОТКРЫТО</v>
      </c>
      <c r="AX48" t="str">
        <f t="shared" si="9"/>
        <v>ОТКРЫТО</v>
      </c>
      <c r="AY48" t="str">
        <f t="shared" si="10"/>
        <v>ОТКРЫТО</v>
      </c>
      <c r="AZ48" t="str">
        <f t="shared" si="11"/>
        <v>ОТКРЫТО</v>
      </c>
      <c r="BA48" t="str">
        <f t="shared" si="12"/>
        <v>ОТКРЫТО</v>
      </c>
      <c r="BB48" t="str">
        <f t="shared" si="13"/>
        <v>ОТКРЫТО</v>
      </c>
      <c r="BC48" t="str">
        <f t="shared" si="14"/>
        <v>ОТКРЫТО</v>
      </c>
      <c r="BD48" t="str">
        <f t="shared" si="15"/>
        <v>ОТКРЫТО</v>
      </c>
      <c r="BE48" t="str">
        <f t="shared" si="16"/>
        <v>ОТКРЫТО</v>
      </c>
      <c r="BF48" t="str">
        <f t="shared" si="17"/>
        <v>ОТКРЫТО</v>
      </c>
      <c r="BG48" t="str">
        <f t="shared" si="18"/>
        <v/>
      </c>
      <c r="BH48" t="str">
        <f t="shared" si="19"/>
        <v/>
      </c>
    </row>
    <row r="49" spans="1:60" ht="185.25">
      <c r="A49" s="3" t="s">
        <v>230</v>
      </c>
      <c r="B49" s="3" t="s">
        <v>222</v>
      </c>
      <c r="C49" s="3" t="s">
        <v>92</v>
      </c>
      <c r="D49" s="3" t="s">
        <v>231</v>
      </c>
      <c r="E49" s="3">
        <v>140</v>
      </c>
      <c r="F49" s="3" t="s">
        <v>163</v>
      </c>
      <c r="G49" s="3" t="s">
        <v>138</v>
      </c>
      <c r="H49" s="3" t="s">
        <v>213</v>
      </c>
      <c r="I49" s="3" t="s">
        <v>232</v>
      </c>
      <c r="J49" s="3" t="s">
        <v>233</v>
      </c>
      <c r="K49" s="4">
        <f>SUMIF('Ход 2026'!$G$29:$G$38,$A49,'Ход 2026'!$I$29:$I$38)*(1+'Эффекты технологий'!J$7+'Эффекты технологий'!J$9)</f>
        <v>0</v>
      </c>
      <c r="L49" s="4">
        <f>SUMIF('Ход 2027'!$G$29:$G$38,$A49,'Ход 2027'!$I$29:$I$38)*(1+'Эффекты технологий'!K$7+'Эффекты технологий'!K$9)</f>
        <v>0</v>
      </c>
      <c r="M49" s="4">
        <f>SUMIF('Ход 2028'!$G$29:$G$38,$A49,'Ход 2028'!$I$29:$I$38)*(1+'Эффекты технологий'!L$7+'Эффекты технологий'!L$9)</f>
        <v>0</v>
      </c>
      <c r="N49" s="4">
        <f>SUMIF('Ход 2029'!$G$29:$G$38,$A49,'Ход 2029'!$I$29:$I$38)*(1+'Эффекты технологий'!M$7+'Эффекты технологий'!M$9)</f>
        <v>0</v>
      </c>
      <c r="O49" s="4">
        <f>SUMIF('Ход 2030'!$G$29:$G$38,$A49,'Ход 2030'!$I$29:$I$38)*(1+'Эффекты технологий'!N$7+'Эффекты технологий'!N$9)</f>
        <v>0</v>
      </c>
      <c r="P49" s="4">
        <f>SUMIF('Ход 2031'!$G$29:$G$38,$A49,'Ход 2031'!$I$29:$I$38)*(1+'Эффекты технологий'!O$7+'Эффекты технологий'!O$9)</f>
        <v>0</v>
      </c>
      <c r="Q49" s="4">
        <f>SUMIF('Ход 2032'!$G$29:$G$38,$A49,'Ход 2032'!$I$29:$I$38)*(1+'Эффекты технологий'!P$7+'Эффекты технологий'!P$9)</f>
        <v>0</v>
      </c>
      <c r="R49" s="4">
        <f>SUMIF('Ход 2033'!$G$29:$G$38,$A49,'Ход 2033'!$I$29:$I$38)*(1+'Эффекты технологий'!Q$7+'Эффекты технологий'!Q$9)</f>
        <v>0</v>
      </c>
      <c r="S49" s="4">
        <f>SUMIF('Ход 2034'!$G$29:$G$38,$A49,'Ход 2034'!$I$29:$I$38)*(1+'Эффекты технологий'!R$7+'Эффекты технологий'!R$9)</f>
        <v>0</v>
      </c>
      <c r="T49" s="4">
        <f>SUMIF('Ход 2035'!$G$29:$G$38,$A49,'Ход 2035'!$I$29:$I$38)*(1+'Эффекты технологий'!S$7+'Эффекты технологий'!S$9)</f>
        <v>0</v>
      </c>
      <c r="U49" s="4">
        <f>SUMIF('Ход 2036'!$G$29:$G$38,$A49,'Ход 2036'!$I$29:$I$38)*(1+'Эффекты технологий'!T$7+'Эффекты технологий'!T$9)</f>
        <v>0</v>
      </c>
      <c r="V49" s="4">
        <f>SUMIF('Ход 2037'!$G$29:$G$38,$A49,'Ход 2037'!$I$29:$I$38)*(1+'Эффекты технологий'!U$7+'Эффекты технологий'!U$9)</f>
        <v>0</v>
      </c>
      <c r="W49" s="4">
        <f>SUMIF('Ход 2038'!$G$29:$G$38,$A49,'Ход 2038'!$I$29:$I$38)*(1+'Эффекты технологий'!V$7+'Эффекты технологий'!V$9)</f>
        <v>0</v>
      </c>
      <c r="X49" s="4">
        <f>SUMIF('Ход 2039'!$G$29:$G$38,$A49,'Ход 2039'!$I$29:$I$38)*(1+'Эффекты технологий'!W$7+'Эффекты технологий'!W$9)</f>
        <v>0</v>
      </c>
      <c r="Y49" s="4">
        <f>SUMIF('Ход 2040'!$G$29:$G$38,$A49,'Ход 2040'!$I$29:$I$38)*(1+'Эффекты технологий'!X$7+'Эффекты технологий'!X$9)</f>
        <v>0</v>
      </c>
      <c r="Z49" s="5">
        <f t="shared" si="0"/>
        <v>0</v>
      </c>
      <c r="AA49" s="5">
        <f t="shared" si="1"/>
        <v>140</v>
      </c>
      <c r="AB49" s="3" t="str">
        <f t="shared" si="2"/>
        <v>ОТКРЫТО</v>
      </c>
      <c r="AC49">
        <f>SUM($K49:K49)</f>
        <v>0</v>
      </c>
      <c r="AD49">
        <f>SUM($K49:L49)</f>
        <v>0</v>
      </c>
      <c r="AE49">
        <f>SUM($K49:M49)</f>
        <v>0</v>
      </c>
      <c r="AF49">
        <f>SUM($K49:N49)</f>
        <v>0</v>
      </c>
      <c r="AG49">
        <f>SUM($K49:O49)</f>
        <v>0</v>
      </c>
      <c r="AH49">
        <f>SUM($K49:P49)</f>
        <v>0</v>
      </c>
      <c r="AI49">
        <f>SUM($K49:Q49)</f>
        <v>0</v>
      </c>
      <c r="AJ49">
        <f>SUM($K49:R49)</f>
        <v>0</v>
      </c>
      <c r="AK49">
        <f>SUM($K49:S49)</f>
        <v>0</v>
      </c>
      <c r="AL49">
        <f>SUM($K49:T49)</f>
        <v>0</v>
      </c>
      <c r="AM49">
        <f>SUM($K49:U49)</f>
        <v>0</v>
      </c>
      <c r="AN49">
        <f>SUM($K49:V49)</f>
        <v>0</v>
      </c>
      <c r="AO49">
        <f>SUM($K49:W49)</f>
        <v>0</v>
      </c>
      <c r="AP49">
        <f>SUM($K49:X49)</f>
        <v>0</v>
      </c>
      <c r="AQ49">
        <f>SUM($K49:Y49)</f>
        <v>0</v>
      </c>
      <c r="AR49" t="str">
        <f t="shared" si="3"/>
        <v>ОТКРЫТО</v>
      </c>
      <c r="AS49" t="str">
        <f t="shared" si="4"/>
        <v>ОТКРЫТО</v>
      </c>
      <c r="AT49" t="str">
        <f t="shared" si="5"/>
        <v>ОТКРЫТО</v>
      </c>
      <c r="AU49" t="str">
        <f t="shared" si="6"/>
        <v>ОТКРЫТО</v>
      </c>
      <c r="AV49" t="str">
        <f t="shared" si="7"/>
        <v>ОТКРЫТО</v>
      </c>
      <c r="AW49" t="str">
        <f t="shared" si="8"/>
        <v>ОТКРЫТО</v>
      </c>
      <c r="AX49" t="str">
        <f t="shared" si="9"/>
        <v>ОТКРЫТО</v>
      </c>
      <c r="AY49" t="str">
        <f t="shared" si="10"/>
        <v>ОТКРЫТО</v>
      </c>
      <c r="AZ49" t="str">
        <f t="shared" si="11"/>
        <v>ОТКРЫТО</v>
      </c>
      <c r="BA49" t="str">
        <f t="shared" si="12"/>
        <v>ОТКРЫТО</v>
      </c>
      <c r="BB49" t="str">
        <f t="shared" si="13"/>
        <v>ОТКРЫТО</v>
      </c>
      <c r="BC49" t="str">
        <f t="shared" si="14"/>
        <v>ОТКРЫТО</v>
      </c>
      <c r="BD49" t="str">
        <f t="shared" si="15"/>
        <v>ОТКРЫТО</v>
      </c>
      <c r="BE49" t="str">
        <f t="shared" si="16"/>
        <v>ОТКРЫТО</v>
      </c>
      <c r="BF49" t="str">
        <f t="shared" si="17"/>
        <v>ОТКРЫТО</v>
      </c>
      <c r="BG49" t="str">
        <f t="shared" si="18"/>
        <v/>
      </c>
      <c r="BH49" t="str">
        <f t="shared" si="19"/>
        <v/>
      </c>
    </row>
    <row r="50" spans="1:60" ht="199.5">
      <c r="A50" s="3" t="s">
        <v>234</v>
      </c>
      <c r="B50" s="3" t="s">
        <v>222</v>
      </c>
      <c r="C50" s="3" t="s">
        <v>235</v>
      </c>
      <c r="D50" s="3" t="s">
        <v>236</v>
      </c>
      <c r="E50" s="3">
        <v>190</v>
      </c>
      <c r="F50" s="3" t="s">
        <v>117</v>
      </c>
      <c r="G50" s="3" t="s">
        <v>167</v>
      </c>
      <c r="H50" s="3" t="s">
        <v>217</v>
      </c>
      <c r="I50" s="3" t="s">
        <v>237</v>
      </c>
      <c r="J50" s="3" t="s">
        <v>238</v>
      </c>
      <c r="K50" s="4">
        <f>SUMIF('Ход 2026'!$G$29:$G$38,$A50,'Ход 2026'!$I$29:$I$38)*(1+'Эффекты технологий'!J$7+'Эффекты технологий'!J$9)</f>
        <v>0</v>
      </c>
      <c r="L50" s="4">
        <f>SUMIF('Ход 2027'!$G$29:$G$38,$A50,'Ход 2027'!$I$29:$I$38)*(1+'Эффекты технологий'!K$7+'Эффекты технологий'!K$9)</f>
        <v>0</v>
      </c>
      <c r="M50" s="4">
        <f>SUMIF('Ход 2028'!$G$29:$G$38,$A50,'Ход 2028'!$I$29:$I$38)*(1+'Эффекты технологий'!L$7+'Эффекты технологий'!L$9)</f>
        <v>0</v>
      </c>
      <c r="N50" s="4">
        <f>SUMIF('Ход 2029'!$G$29:$G$38,$A50,'Ход 2029'!$I$29:$I$38)*(1+'Эффекты технологий'!M$7+'Эффекты технологий'!M$9)</f>
        <v>0</v>
      </c>
      <c r="O50" s="4">
        <f>SUMIF('Ход 2030'!$G$29:$G$38,$A50,'Ход 2030'!$I$29:$I$38)*(1+'Эффекты технологий'!N$7+'Эффекты технологий'!N$9)</f>
        <v>0</v>
      </c>
      <c r="P50" s="4">
        <f>SUMIF('Ход 2031'!$G$29:$G$38,$A50,'Ход 2031'!$I$29:$I$38)*(1+'Эффекты технологий'!O$7+'Эффекты технологий'!O$9)</f>
        <v>0</v>
      </c>
      <c r="Q50" s="4">
        <f>SUMIF('Ход 2032'!$G$29:$G$38,$A50,'Ход 2032'!$I$29:$I$38)*(1+'Эффекты технологий'!P$7+'Эффекты технологий'!P$9)</f>
        <v>0</v>
      </c>
      <c r="R50" s="4">
        <f>SUMIF('Ход 2033'!$G$29:$G$38,$A50,'Ход 2033'!$I$29:$I$38)*(1+'Эффекты технологий'!Q$7+'Эффекты технологий'!Q$9)</f>
        <v>0</v>
      </c>
      <c r="S50" s="4">
        <f>SUMIF('Ход 2034'!$G$29:$G$38,$A50,'Ход 2034'!$I$29:$I$38)*(1+'Эффекты технологий'!R$7+'Эффекты технологий'!R$9)</f>
        <v>0</v>
      </c>
      <c r="T50" s="4">
        <f>SUMIF('Ход 2035'!$G$29:$G$38,$A50,'Ход 2035'!$I$29:$I$38)*(1+'Эффекты технологий'!S$7+'Эффекты технологий'!S$9)</f>
        <v>0</v>
      </c>
      <c r="U50" s="4">
        <f>SUMIF('Ход 2036'!$G$29:$G$38,$A50,'Ход 2036'!$I$29:$I$38)*(1+'Эффекты технологий'!T$7+'Эффекты технологий'!T$9)</f>
        <v>0</v>
      </c>
      <c r="V50" s="4">
        <f>SUMIF('Ход 2037'!$G$29:$G$38,$A50,'Ход 2037'!$I$29:$I$38)*(1+'Эффекты технологий'!U$7+'Эффекты технологий'!U$9)</f>
        <v>0</v>
      </c>
      <c r="W50" s="4">
        <f>SUMIF('Ход 2038'!$G$29:$G$38,$A50,'Ход 2038'!$I$29:$I$38)*(1+'Эффекты технологий'!V$7+'Эффекты технологий'!V$9)</f>
        <v>0</v>
      </c>
      <c r="X50" s="4">
        <f>SUMIF('Ход 2039'!$G$29:$G$38,$A50,'Ход 2039'!$I$29:$I$38)*(1+'Эффекты технологий'!W$7+'Эффекты технологий'!W$9)</f>
        <v>0</v>
      </c>
      <c r="Y50" s="4">
        <f>SUMIF('Ход 2040'!$G$29:$G$38,$A50,'Ход 2040'!$I$29:$I$38)*(1+'Эффекты технологий'!X$7+'Эффекты технологий'!X$9)</f>
        <v>0</v>
      </c>
      <c r="Z50" s="5">
        <f t="shared" si="0"/>
        <v>0</v>
      </c>
      <c r="AA50" s="5">
        <f t="shared" si="1"/>
        <v>190</v>
      </c>
      <c r="AB50" s="3" t="str">
        <f t="shared" si="2"/>
        <v>ОТКРЫТО</v>
      </c>
      <c r="AC50">
        <f>SUM($K50:K50)</f>
        <v>0</v>
      </c>
      <c r="AD50">
        <f>SUM($K50:L50)</f>
        <v>0</v>
      </c>
      <c r="AE50">
        <f>SUM($K50:M50)</f>
        <v>0</v>
      </c>
      <c r="AF50">
        <f>SUM($K50:N50)</f>
        <v>0</v>
      </c>
      <c r="AG50">
        <f>SUM($K50:O50)</f>
        <v>0</v>
      </c>
      <c r="AH50">
        <f>SUM($K50:P50)</f>
        <v>0</v>
      </c>
      <c r="AI50">
        <f>SUM($K50:Q50)</f>
        <v>0</v>
      </c>
      <c r="AJ50">
        <f>SUM($K50:R50)</f>
        <v>0</v>
      </c>
      <c r="AK50">
        <f>SUM($K50:S50)</f>
        <v>0</v>
      </c>
      <c r="AL50">
        <f>SUM($K50:T50)</f>
        <v>0</v>
      </c>
      <c r="AM50">
        <f>SUM($K50:U50)</f>
        <v>0</v>
      </c>
      <c r="AN50">
        <f>SUM($K50:V50)</f>
        <v>0</v>
      </c>
      <c r="AO50">
        <f>SUM($K50:W50)</f>
        <v>0</v>
      </c>
      <c r="AP50">
        <f>SUM($K50:X50)</f>
        <v>0</v>
      </c>
      <c r="AQ50">
        <f>SUM($K50:Y50)</f>
        <v>0</v>
      </c>
      <c r="AR50" t="str">
        <f t="shared" si="3"/>
        <v>ОТКРЫТО</v>
      </c>
      <c r="AS50" t="str">
        <f t="shared" si="4"/>
        <v>ОТКРЫТО</v>
      </c>
      <c r="AT50" t="str">
        <f t="shared" si="5"/>
        <v>ОТКРЫТО</v>
      </c>
      <c r="AU50" t="str">
        <f t="shared" si="6"/>
        <v>ОТКРЫТО</v>
      </c>
      <c r="AV50" t="str">
        <f t="shared" si="7"/>
        <v>ОТКРЫТО</v>
      </c>
      <c r="AW50" t="str">
        <f t="shared" si="8"/>
        <v>ОТКРЫТО</v>
      </c>
      <c r="AX50" t="str">
        <f t="shared" si="9"/>
        <v>ОТКРЫТО</v>
      </c>
      <c r="AY50" t="str">
        <f t="shared" si="10"/>
        <v>ОТКРЫТО</v>
      </c>
      <c r="AZ50" t="str">
        <f t="shared" si="11"/>
        <v>ОТКРЫТО</v>
      </c>
      <c r="BA50" t="str">
        <f t="shared" si="12"/>
        <v>ОТКРЫТО</v>
      </c>
      <c r="BB50" t="str">
        <f t="shared" si="13"/>
        <v>ОТКРЫТО</v>
      </c>
      <c r="BC50" t="str">
        <f t="shared" si="14"/>
        <v>ОТКРЫТО</v>
      </c>
      <c r="BD50" t="str">
        <f t="shared" si="15"/>
        <v>ОТКРЫТО</v>
      </c>
      <c r="BE50" t="str">
        <f t="shared" si="16"/>
        <v>ОТКРЫТО</v>
      </c>
      <c r="BF50" t="str">
        <f t="shared" si="17"/>
        <v>ОТКРЫТО</v>
      </c>
      <c r="BG50" t="str">
        <f t="shared" si="18"/>
        <v/>
      </c>
      <c r="BH50" t="str">
        <f t="shared" si="19"/>
        <v/>
      </c>
    </row>
  </sheetData>
  <mergeCells count="10">
    <mergeCell ref="A6:C7"/>
    <mergeCell ref="E6:G7"/>
    <mergeCell ref="I6:K7"/>
    <mergeCell ref="M6:N7"/>
    <mergeCell ref="A1:AB2"/>
    <mergeCell ref="A3:AB3"/>
    <mergeCell ref="A5:C5"/>
    <mergeCell ref="E5:G5"/>
    <mergeCell ref="I5:K5"/>
    <mergeCell ref="M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"/>
  <sheetViews>
    <sheetView topLeftCell="G11" zoomScale="85" zoomScaleNormal="85" workbookViewId="0">
      <selection activeCell="B13" sqref="B13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94.239502209785471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94.805500821325822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79.085809643194565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96.008863240386631</v>
      </c>
      <c r="V6" s="36"/>
      <c r="W6" s="36"/>
      <c r="X6" s="3"/>
    </row>
    <row r="7" spans="1:24" ht="28.5">
      <c r="A7" s="6" t="s">
        <v>255</v>
      </c>
      <c r="B7" s="6"/>
      <c r="C7" s="6"/>
      <c r="D7" s="7"/>
      <c r="E7" s="7"/>
      <c r="F7" s="7"/>
      <c r="G7" s="7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v>9.5</v>
      </c>
      <c r="C8" s="3"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9.5</v>
      </c>
      <c r="J8" s="10">
        <f>SUMIFS('Эффекты технологий'!$J$25:$J$240,'Эффекты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v>9.5</v>
      </c>
      <c r="C9" s="3"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9.5</v>
      </c>
      <c r="J9" s="10">
        <f>SUMIFS('Эффекты технологий'!$J$25:$J$240,'Эффекты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v>9</v>
      </c>
      <c r="C10" s="3">
        <v>0.2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</v>
      </c>
      <c r="J10" s="10">
        <f>SUMIFS('Эффекты технологий'!$J$25:$J$240,'Эффекты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 t="s">
        <v>265</v>
      </c>
    </row>
    <row r="11" spans="1:24" ht="57">
      <c r="A11" s="3" t="s">
        <v>266</v>
      </c>
      <c r="B11" s="3">
        <v>6.5</v>
      </c>
      <c r="C11" s="3">
        <v>0.15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6.5</v>
      </c>
      <c r="J11" s="10">
        <f>SUMIFS('Эффекты технологий'!$J$25:$J$240,'Эффекты технологий'!$C$25:$C$240,$A11,'Эффекты технологий'!$D$25:$D$240,"Значение")</f>
        <v>0</v>
      </c>
      <c r="K11" s="3" t="s">
        <v>267</v>
      </c>
      <c r="L11" s="3">
        <v>9.5</v>
      </c>
      <c r="M11" s="3"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9.5</v>
      </c>
      <c r="T11" s="10">
        <f>SUMIFS('Эффекты технологий'!$J$25:$J$240,'Эффекты технологий'!$C$25:$C$240,$K11,'Эффекты технологий'!$D$25:$D$240,"Значение")</f>
        <v>0</v>
      </c>
      <c r="U11" s="3" t="s">
        <v>534</v>
      </c>
      <c r="V11" s="3"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v>9</v>
      </c>
      <c r="C12" s="3"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</v>
      </c>
      <c r="J12" s="10">
        <f>SUMIFS('Эффекты технологий'!$J$25:$J$240,'Эффекты технологий'!$C$25:$C$240,$A12,'Эффекты технологий'!$D$25:$D$240,"Значение")</f>
        <v>0</v>
      </c>
      <c r="K12" s="3" t="s">
        <v>269</v>
      </c>
      <c r="L12" s="3">
        <v>8.5</v>
      </c>
      <c r="M12" s="3"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8.5</v>
      </c>
      <c r="T12" s="10">
        <f>SUMIFS('Эффекты технологий'!$J$25:$J$240,'Эффекты технологий'!$C$25:$C$240,$K12,'Эффекты технологий'!$D$25:$D$240,"Значение")</f>
        <v>0</v>
      </c>
      <c r="U12" s="3" t="s">
        <v>536</v>
      </c>
      <c r="V12" s="3"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v>8.5</v>
      </c>
      <c r="C13" s="3"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8.5</v>
      </c>
      <c r="J13" s="10">
        <f>SUMIFS('Эффекты технологий'!$J$25:$J$240,'Эффекты технологий'!$C$25:$C$240,$A13,'Эффекты технологий'!$D$25:$D$240,"Значение")</f>
        <v>0</v>
      </c>
      <c r="K13" s="3" t="s">
        <v>271</v>
      </c>
      <c r="L13" s="3">
        <v>9.5</v>
      </c>
      <c r="M13" s="3"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9.5</v>
      </c>
      <c r="T13" s="10">
        <f>SUMIFS('Эффекты технологий'!$J$25:$J$240,'Эффекты технологий'!$C$25:$C$240,$K13,'Эффекты технологий'!$D$25:$D$240,"Значение")</f>
        <v>0</v>
      </c>
      <c r="U13" s="3" t="s">
        <v>538</v>
      </c>
      <c r="V13" s="3"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v>7.5</v>
      </c>
      <c r="C14" s="3">
        <v>0.45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7.5</v>
      </c>
      <c r="J14" s="10">
        <f>SUMIFS('Эффекты технологий'!$J$25:$J$240,'Эффекты технологий'!$C$25:$C$240,$A14,'Эффекты технологий'!$D$25:$D$240,"Значение")</f>
        <v>0</v>
      </c>
      <c r="K14" s="3" t="s">
        <v>273</v>
      </c>
      <c r="L14" s="3">
        <v>8.5</v>
      </c>
      <c r="M14" s="3"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8.5</v>
      </c>
      <c r="T14" s="10">
        <f>SUMIFS('Эффекты технологий'!$J$25:$J$240,'Эффекты технологий'!$C$25:$C$240,$K14,'Эффекты технологий'!$D$25:$D$240,"Значение")</f>
        <v>0</v>
      </c>
      <c r="U14" s="3" t="s">
        <v>540</v>
      </c>
      <c r="V14" s="3"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v>8.5</v>
      </c>
      <c r="C15" s="3"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8.5</v>
      </c>
      <c r="J15" s="10">
        <f>SUMIFS('Эффекты технологий'!$J$25:$J$240,'Эффекты технологий'!$C$25:$C$240,$A15,'Эффекты технологий'!$D$25:$D$240,"Значение")</f>
        <v>0</v>
      </c>
      <c r="K15" s="3" t="s">
        <v>275</v>
      </c>
      <c r="L15" s="3">
        <v>8.5</v>
      </c>
      <c r="M15" s="3">
        <v>0.25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8.5</v>
      </c>
      <c r="T15" s="10">
        <f>SUMIFS('Эффекты технологий'!$J$25:$J$240,'Эффекты технологий'!$C$25:$C$240,$K15,'Эффекты технологий'!$D$25:$D$240,"Значение")</f>
        <v>0</v>
      </c>
      <c r="U15" s="3" t="s">
        <v>542</v>
      </c>
      <c r="V15" s="3"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v>10</v>
      </c>
      <c r="C16" s="3"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технологий'!$J$25:$J$240,'Эффекты технологий'!$C$25:$C$240,$A16,'Эффекты технологий'!$D$25:$D$240,"Значение")</f>
        <v>0</v>
      </c>
      <c r="K16" s="3" t="s">
        <v>277</v>
      </c>
      <c r="L16" s="3">
        <v>9</v>
      </c>
      <c r="M16" s="3"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</v>
      </c>
      <c r="T16" s="10">
        <f>SUMIFS('Эффекты технологий'!$J$25:$J$240,'Эффекты технологий'!$C$25:$C$240,$K16,'Эффекты технологий'!$D$25:$D$240,"Значение")</f>
        <v>0</v>
      </c>
      <c r="U16" s="3" t="s">
        <v>544</v>
      </c>
      <c r="V16" s="3"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v>10</v>
      </c>
      <c r="C17" s="3"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технологий'!$J$25:$J$240,'Эффекты технологий'!$C$25:$C$240,$A17,'Эффекты технологий'!$D$25:$D$240,"Значение")</f>
        <v>0</v>
      </c>
      <c r="K17" s="3" t="s">
        <v>279</v>
      </c>
      <c r="L17" s="3">
        <v>8.5</v>
      </c>
      <c r="M17" s="3"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8.5</v>
      </c>
      <c r="T17" s="10">
        <f>SUMIFS('Эффекты технологий'!$J$25:$J$240,'Эффекты технологий'!$C$25:$C$240,$K17,'Эффекты технологий'!$D$25:$D$240,"Значение")</f>
        <v>0</v>
      </c>
      <c r="U17" s="3" t="s">
        <v>546</v>
      </c>
      <c r="V17" s="3"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7"/>
      <c r="E18" s="7"/>
      <c r="F18" s="7"/>
      <c r="G18" s="7"/>
      <c r="H18" s="6"/>
      <c r="I18" s="6"/>
      <c r="J18" s="3"/>
      <c r="K18" s="3" t="s">
        <v>281</v>
      </c>
      <c r="L18" s="3">
        <v>8.5</v>
      </c>
      <c r="M18" s="3"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8.5</v>
      </c>
      <c r="T18" s="10">
        <f>SUMIFS('Эффекты технологий'!$J$25:$J$240,'Эффекты технологий'!$C$25:$C$240,$K18,'Эффекты технологий'!$D$25:$D$240,"Значение")</f>
        <v>0</v>
      </c>
      <c r="U18" s="3" t="s">
        <v>548</v>
      </c>
      <c r="V18" s="3"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v>8</v>
      </c>
      <c r="C19" s="3"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</v>
      </c>
      <c r="J19" s="10">
        <f>SUMIFS('Эффекты технологий'!$J$25:$J$240,'Эффекты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3"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v>8.5</v>
      </c>
      <c r="C20" s="3"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8.5</v>
      </c>
      <c r="J20" s="10">
        <f>SUMIFS('Эффекты технологий'!$J$25:$J$240,'Эффекты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3"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v>9</v>
      </c>
      <c r="C21" s="3"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</v>
      </c>
      <c r="J21" s="10">
        <f>SUMIFS('Эффекты технологий'!$J$25:$J$240,'Эффекты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3"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v>10</v>
      </c>
      <c r="C22" s="3"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технологий'!$J$25:$J$240,'Эффекты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3"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v>9.5</v>
      </c>
      <c r="C23" s="3"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9.5</v>
      </c>
      <c r="J23" s="10">
        <f>SUMIFS('Эффекты технологий'!$J$25:$J$240,'Эффекты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3"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7"/>
      <c r="E24" s="7"/>
      <c r="F24" s="7"/>
      <c r="G24" s="7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3"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v>10</v>
      </c>
      <c r="C25" s="3"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технологий'!$J$25:$J$240,'Эффекты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3"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v>9.5</v>
      </c>
      <c r="C26" s="3"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9.5</v>
      </c>
      <c r="J26" s="10">
        <f>SUMIFS('Эффекты технологий'!$J$25:$J$240,'Эффекты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3"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v>9.5</v>
      </c>
      <c r="C27" s="3"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9.5</v>
      </c>
      <c r="J27" s="10">
        <f>SUMIFS('Эффекты технологий'!$J$25:$J$240,'Эффекты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v>9.5</v>
      </c>
      <c r="C28" s="3"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9.5</v>
      </c>
      <c r="J28" s="10">
        <f>SUMIFS('Эффекты технологий'!$J$25:$J$240,'Эффекты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v>8.5</v>
      </c>
      <c r="C29" s="3"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8.5</v>
      </c>
      <c r="J29" s="10">
        <f>SUMIFS('Эффекты технологий'!$J$25:$J$240,'Эффекты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v>7.5</v>
      </c>
      <c r="C30" s="3"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7.5</v>
      </c>
      <c r="J30" s="10">
        <f>SUMIFS('Эффекты технологий'!$J$25:$J$240,'Эффекты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v>7</v>
      </c>
      <c r="C31" s="3"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</v>
      </c>
      <c r="J31" s="10">
        <f>SUMIFS('Эффекты технологий'!$J$25:$J$240,'Эффекты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v>9</v>
      </c>
      <c r="C32" s="3"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</v>
      </c>
      <c r="J32" s="10">
        <f>SUMIFS('Эффекты технологий'!$J$25:$J$240,'Эффекты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7"/>
      <c r="E33" s="7"/>
      <c r="F33" s="7"/>
      <c r="G33" s="7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v>9.5</v>
      </c>
      <c r="C34" s="3"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9.5</v>
      </c>
      <c r="J34" s="10">
        <f>SUMIFS('Эффекты технологий'!$J$25:$J$240,'Эффекты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v>10</v>
      </c>
      <c r="C35" s="3"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технологий'!$J$25:$J$240,'Эффекты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v>9.5</v>
      </c>
      <c r="C36" s="3"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9.5</v>
      </c>
      <c r="J36" s="10">
        <f>SUMIFS('Эффекты технологий'!$J$25:$J$240,'Эффекты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v>9.5</v>
      </c>
      <c r="C37" s="3"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9.5</v>
      </c>
      <c r="J37" s="10">
        <f>SUMIFS('Эффекты технологий'!$J$25:$J$240,'Эффекты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v>9.5</v>
      </c>
      <c r="C38" s="3"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9.5</v>
      </c>
      <c r="J38" s="10">
        <f>SUMIFS('Эффекты технологий'!$J$25:$J$240,'Эффекты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v>9</v>
      </c>
      <c r="C39" s="3"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</v>
      </c>
      <c r="J39" s="10">
        <f>SUMIFS('Эффекты технологий'!$J$25:$J$240,'Эффекты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v>9</v>
      </c>
      <c r="C40" s="3"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</v>
      </c>
      <c r="J40" s="10">
        <f>SUMIFS('Эффекты технологий'!$J$25:$J$240,'Эффекты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v>9.5</v>
      </c>
      <c r="C41" s="3"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9.5</v>
      </c>
      <c r="J41" s="10">
        <f>SUMIFS('Эффекты технологий'!$J$25:$J$240,'Эффекты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v>10</v>
      </c>
      <c r="C42" s="3"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технологий'!$J$25:$J$240,'Эффекты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7"/>
      <c r="E43" s="7"/>
      <c r="F43" s="7"/>
      <c r="G43" s="7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v>7.5</v>
      </c>
      <c r="C44" s="3"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7.5</v>
      </c>
      <c r="J44" s="10">
        <f>SUMIFS('Эффекты технологий'!$J$25:$J$240,'Эффекты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v>9.5</v>
      </c>
      <c r="C45" s="3"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9.5</v>
      </c>
      <c r="J45" s="10">
        <f>SUMIFS('Эффекты технологий'!$J$25:$J$240,'Эффекты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v>9.5</v>
      </c>
      <c r="C46" s="3"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9.5</v>
      </c>
      <c r="J46" s="10">
        <f>SUMIFS('Эффекты технологий'!$J$25:$J$240,'Эффекты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v>6</v>
      </c>
      <c r="C47" s="3"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</v>
      </c>
      <c r="J47" s="10">
        <f>SUMIFS('Эффекты технологий'!$J$25:$J$240,'Эффекты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v>8.5</v>
      </c>
      <c r="C48" s="3"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8.5</v>
      </c>
      <c r="J48" s="10">
        <f>SUMIFS('Эффекты технологий'!$J$25:$J$240,'Эффекты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v>9</v>
      </c>
      <c r="C49" s="3"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</v>
      </c>
      <c r="J49" s="10">
        <f>SUMIFS('Эффекты технологий'!$J$25:$J$240,'Эффекты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v>10</v>
      </c>
      <c r="C50" s="3"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технологий'!$J$25:$J$240,'Эффекты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v>9.5</v>
      </c>
      <c r="C51" s="3"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9.5</v>
      </c>
      <c r="J51" s="10">
        <f>SUMIFS('Эффекты технологий'!$J$25:$J$240,'Эффекты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7"/>
      <c r="E52" s="7"/>
      <c r="F52" s="7"/>
      <c r="G52" s="7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v>9.5</v>
      </c>
      <c r="C53" s="3"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9.5</v>
      </c>
      <c r="J53" s="10">
        <f>SUMIFS('Эффекты технологий'!$J$25:$J$240,'Эффекты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v>9.5</v>
      </c>
      <c r="C54" s="3"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9.5</v>
      </c>
      <c r="J54" s="10">
        <f>SUMIFS('Эффекты технологий'!$J$25:$J$240,'Эффекты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v>9</v>
      </c>
      <c r="C55" s="3"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</v>
      </c>
      <c r="J55" s="10">
        <f>SUMIFS('Эффекты технологий'!$J$25:$J$240,'Эффекты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1"/>
  <sheetViews>
    <sheetView tabSelected="1" topLeftCell="A10" zoomScale="55" zoomScaleNormal="55" workbookViewId="0">
      <selection activeCell="J19" sqref="J19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319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2026'!U6</f>
        <v>96.008863240386631</v>
      </c>
      <c r="C6" s="3"/>
      <c r="D6" s="3"/>
      <c r="E6" s="3" t="s">
        <v>321</v>
      </c>
      <c r="F6" s="3">
        <f>'Китай 2026'!K6</f>
        <v>94.239502209785471</v>
      </c>
      <c r="G6" s="3"/>
      <c r="H6" s="3"/>
      <c r="I6" s="3" t="s">
        <v>321</v>
      </c>
      <c r="J6" s="3">
        <f>'Китай 2026'!N6</f>
        <v>94.805500821325822</v>
      </c>
      <c r="K6" s="3"/>
      <c r="L6" s="3"/>
      <c r="M6" s="3" t="s">
        <v>321</v>
      </c>
      <c r="N6" s="3">
        <f>'Китай 2026'!Q6</f>
        <v>79.085809643194565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96</v>
      </c>
      <c r="C7" s="3"/>
      <c r="D7" s="3"/>
      <c r="E7" s="3" t="s">
        <v>322</v>
      </c>
      <c r="F7" s="3">
        <f>SUM(H13:H20)</f>
        <v>94</v>
      </c>
      <c r="G7" s="3"/>
      <c r="H7" s="3"/>
      <c r="I7" s="3" t="s">
        <v>322</v>
      </c>
      <c r="J7" s="3">
        <f>SUM(I29:I38)</f>
        <v>94</v>
      </c>
      <c r="K7" s="3"/>
      <c r="L7" s="3"/>
      <c r="M7" s="3" t="s">
        <v>322</v>
      </c>
      <c r="N7" s="3">
        <f>SUM(N13:Q28)+J24</f>
        <v>79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8.8632403866313325E-3</v>
      </c>
      <c r="C8" s="3" t="str">
        <f>IF(B8&lt;0,"ПРЕВЫШЕНИЕ","OK")</f>
        <v>OK</v>
      </c>
      <c r="D8" s="3"/>
      <c r="E8" s="3" t="s">
        <v>323</v>
      </c>
      <c r="F8" s="3">
        <f>F6-F7</f>
        <v>0.23950220978547065</v>
      </c>
      <c r="G8" s="3" t="str">
        <f>IF(F8&lt;0,"ПРЕВЫШЕНИЕ","OK")</f>
        <v>OK</v>
      </c>
      <c r="H8" s="3"/>
      <c r="I8" s="3" t="s">
        <v>323</v>
      </c>
      <c r="J8" s="3">
        <f>J6-J7</f>
        <v>0.8055008213258219</v>
      </c>
      <c r="K8" s="3" t="str">
        <f>IF(J8&lt;0,"ПРЕВЫШЕНИЕ","OK")</f>
        <v>OK</v>
      </c>
      <c r="L8" s="3"/>
      <c r="M8" s="3" t="s">
        <v>323</v>
      </c>
      <c r="N8" s="3">
        <f>N6-N7</f>
        <v>8.580964319456541E-2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2026'!V11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2026'!V12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2026'!V13</f>
        <v>-0.4</v>
      </c>
      <c r="N15" s="7">
        <v>20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10</v>
      </c>
      <c r="D16" s="3"/>
      <c r="E16" s="3"/>
      <c r="F16" s="3"/>
      <c r="G16" s="3" t="s">
        <v>273</v>
      </c>
      <c r="H16" s="7">
        <v>30</v>
      </c>
      <c r="I16" s="3"/>
      <c r="J16" s="3"/>
      <c r="K16" s="3"/>
      <c r="L16" s="3" t="s">
        <v>540</v>
      </c>
      <c r="M16" s="3">
        <f>'Китай 2026'!V14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10</v>
      </c>
      <c r="C17" s="7">
        <v>10</v>
      </c>
      <c r="D17" s="3"/>
      <c r="E17" s="3"/>
      <c r="F17" s="3"/>
      <c r="G17" s="3" t="s">
        <v>275</v>
      </c>
      <c r="H17" s="7">
        <v>4</v>
      </c>
      <c r="I17" s="3"/>
      <c r="J17" s="3"/>
      <c r="K17" s="3"/>
      <c r="L17" s="3" t="s">
        <v>542</v>
      </c>
      <c r="M17" s="3">
        <f>'Китай 2026'!V15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30</v>
      </c>
      <c r="I18" s="3"/>
      <c r="J18" s="3"/>
      <c r="K18" s="3"/>
      <c r="L18" s="3" t="s">
        <v>544</v>
      </c>
      <c r="M18" s="3">
        <f>'Китай 2026'!V16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2026'!V17</f>
        <v>-0.8</v>
      </c>
      <c r="N19" s="7">
        <v>25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20</v>
      </c>
      <c r="D20" s="3"/>
      <c r="E20" s="3"/>
      <c r="F20" s="3"/>
      <c r="G20" s="3" t="s">
        <v>281</v>
      </c>
      <c r="H20" s="7">
        <v>30</v>
      </c>
      <c r="I20" s="3"/>
      <c r="J20" s="3"/>
      <c r="K20" s="3"/>
      <c r="L20" s="3" t="s">
        <v>548</v>
      </c>
      <c r="M20" s="3">
        <f>'Китай 2026'!V18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2026'!V19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2026'!V20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2026'!V21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10</v>
      </c>
      <c r="H24" s="7">
        <v>20</v>
      </c>
      <c r="I24" s="7">
        <v>4</v>
      </c>
      <c r="J24" s="3">
        <f>SUM(G24:I24)</f>
        <v>34</v>
      </c>
      <c r="K24" s="3"/>
      <c r="L24" s="3" t="s">
        <v>556</v>
      </c>
      <c r="M24" s="3">
        <f>'Китай 2026'!V22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1</v>
      </c>
      <c r="C25" s="7">
        <v>0</v>
      </c>
      <c r="D25" s="3"/>
      <c r="E25" s="3"/>
      <c r="F25" s="3" t="s">
        <v>340</v>
      </c>
      <c r="G25" s="11">
        <f>'Эффекты технологий'!J$16</f>
        <v>0</v>
      </c>
      <c r="H25" s="11">
        <f>'Эффекты технологий'!J$17</f>
        <v>0</v>
      </c>
      <c r="I25" s="11">
        <f>'Эффекты технологий'!J$18</f>
        <v>0</v>
      </c>
      <c r="J25" s="12"/>
      <c r="K25" s="3"/>
      <c r="L25" s="3" t="s">
        <v>558</v>
      </c>
      <c r="M25" s="3">
        <f>'Китай 2026'!V23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10</v>
      </c>
      <c r="C26" s="7">
        <v>0</v>
      </c>
      <c r="D26" s="3"/>
      <c r="E26" s="3"/>
      <c r="F26" s="3" t="s">
        <v>341</v>
      </c>
      <c r="G26" s="13">
        <f>G24*(1+G25)</f>
        <v>10</v>
      </c>
      <c r="H26" s="13">
        <f>H24*(1+H25)</f>
        <v>20</v>
      </c>
      <c r="I26" s="13">
        <f>I24*(1+I25)</f>
        <v>4</v>
      </c>
      <c r="J26" s="13">
        <f>SUM(G26:I26)</f>
        <v>34</v>
      </c>
      <c r="K26" s="3"/>
      <c r="L26" s="3" t="s">
        <v>560</v>
      </c>
      <c r="M26" s="3">
        <f>'Китай 2026'!V24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2026'!V25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2026'!V26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42.75">
      <c r="A29" s="3" t="s">
        <v>286</v>
      </c>
      <c r="B29" s="7">
        <v>0</v>
      </c>
      <c r="C29" s="7">
        <v>0</v>
      </c>
      <c r="D29" s="3"/>
      <c r="E29" s="3"/>
      <c r="F29" s="3"/>
      <c r="G29" s="7" t="s">
        <v>159</v>
      </c>
      <c r="H29" s="4" t="str">
        <f>IF(G29="","",VLOOKUP(G29,Технологии!$A$11:$D$50,4,FALSE))</f>
        <v>Автономное исполнение регламентов с анализом бизнес-процессов</v>
      </c>
      <c r="I29" s="7">
        <v>10</v>
      </c>
      <c r="J29" s="7"/>
      <c r="K29" s="4" t="str">
        <f>IF(G29="","",VLOOKUP(G29,Технологии!$A$11:$BF$50,44,FALSE))</f>
        <v>ОТКРЫТО</v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28" t="s">
        <v>180</v>
      </c>
      <c r="H30" s="4" t="str">
        <f>IF(G30="","",VLOOKUP(G30,Технологии!$A$11:$D$50,4,FALSE))</f>
        <v>Автономная логистика с SLAM и многороботной маршрутизацией</v>
      </c>
      <c r="I30" s="7">
        <v>10</v>
      </c>
      <c r="J30" s="7"/>
      <c r="K30" s="4" t="str">
        <f>IF(G30="","",VLOOKUP(G30,Технологии!$A$11:$BF$50,44,FALSE))</f>
        <v>ОТКРЫТО</v>
      </c>
      <c r="L30" s="3"/>
      <c r="M30" s="3"/>
      <c r="N30" s="12" t="s">
        <v>340</v>
      </c>
      <c r="O30" s="11">
        <f>'Эффекты технологий'!J$13</f>
        <v>0</v>
      </c>
      <c r="P30" s="11">
        <f>'Эффекты технологий'!J$14</f>
        <v>0</v>
      </c>
      <c r="Q30" s="11">
        <f>'Эффекты технологий'!J$15</f>
        <v>0</v>
      </c>
      <c r="R30" s="3"/>
      <c r="S30" s="3"/>
      <c r="T30" s="3"/>
      <c r="U30" s="3"/>
    </row>
    <row r="31" spans="1:21" ht="42.75">
      <c r="A31" s="3" t="s">
        <v>288</v>
      </c>
      <c r="B31" s="7">
        <v>0</v>
      </c>
      <c r="C31" s="7">
        <v>0</v>
      </c>
      <c r="D31" s="3"/>
      <c r="E31" s="3"/>
      <c r="F31" s="3"/>
      <c r="G31" s="28" t="s">
        <v>201</v>
      </c>
      <c r="H31" s="4" t="str">
        <f>IF(G31="","",VLOOKUP(G31,Технологии!$A$11:$D$50,4,FALSE))</f>
        <v>Интерпретация решений нейросетей на основе SHAP и концептуальных признаков</v>
      </c>
      <c r="I31" s="7">
        <v>10</v>
      </c>
      <c r="J31" s="7"/>
      <c r="K31" s="4" t="str">
        <f>IF(G31="","",VLOOKUP(G31,Технологии!$A$11:$BF$50,44,FALSE))</f>
        <v>ОТКРЫТО</v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 ht="42.75">
      <c r="A32" s="3" t="s">
        <v>289</v>
      </c>
      <c r="B32" s="7">
        <v>0</v>
      </c>
      <c r="C32" s="7">
        <v>0</v>
      </c>
      <c r="D32" s="3"/>
      <c r="E32" s="3"/>
      <c r="F32" s="3"/>
      <c r="G32" s="28" t="s">
        <v>209</v>
      </c>
      <c r="H32" s="4" t="str">
        <f>IF(G32="","",VLOOKUP(G32,Технологии!$A$11:$D$50,4,FALSE))</f>
        <v>Автоматизированное adversarial-тестирование и red teaming моделей</v>
      </c>
      <c r="I32" s="7">
        <v>10</v>
      </c>
      <c r="J32" s="7"/>
      <c r="K32" s="4" t="str">
        <f>IF(G32="","",VLOOKUP(G32,Технологии!$A$11:$BF$50,44,FALSE))</f>
        <v>ОТКРЫТО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42.75">
      <c r="A33" s="3" t="s">
        <v>290</v>
      </c>
      <c r="B33" s="7">
        <v>0</v>
      </c>
      <c r="C33" s="7">
        <v>0</v>
      </c>
      <c r="D33" s="3"/>
      <c r="E33" s="3"/>
      <c r="F33" s="3"/>
      <c r="G33" s="28" t="s">
        <v>226</v>
      </c>
      <c r="H33" s="4" t="str">
        <f>IF(G33="","",VLOOKUP(G33,Технологии!$A$11:$D$50,4,FALSE))</f>
        <v>Национальная платформа инференса ИИ с маршрутизацией моделей через API</v>
      </c>
      <c r="I33" s="7">
        <v>4</v>
      </c>
      <c r="J33" s="7"/>
      <c r="K33" s="4" t="str">
        <f>IF(G33="","",VLOOKUP(G33,Технологии!$A$11:$BF$50,44,FALSE))</f>
        <v>ОТКРЫТО</v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42.75">
      <c r="A34" s="3" t="s">
        <v>291</v>
      </c>
      <c r="B34" s="7">
        <v>0</v>
      </c>
      <c r="C34" s="7">
        <v>0</v>
      </c>
      <c r="D34" s="3"/>
      <c r="E34" s="3"/>
      <c r="F34" s="3"/>
      <c r="G34" s="28" t="s">
        <v>126</v>
      </c>
      <c r="H34" s="4" t="str">
        <f>IF(G34="","",VLOOKUP(G34,Технологии!$A$11:$D$50,4,FALSE))</f>
        <v>Генерация синтетических данных диффузионными и генеративно-состязательными моделями</v>
      </c>
      <c r="I34" s="7">
        <v>5</v>
      </c>
      <c r="J34" s="7"/>
      <c r="K34" s="4" t="str">
        <f>IF(G34="","",VLOOKUP(G34,Технологии!$A$11:$BF$50,44,FALSE))</f>
        <v>ОТКРЫТО</v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28" t="s">
        <v>66</v>
      </c>
      <c r="H35" s="4" t="str">
        <f>IF(G35="","",VLOOKUP(G35,Технологии!$A$11:$D$50,4,FALSE))</f>
        <v>GPU-узлы с тензорными ядрами</v>
      </c>
      <c r="I35" s="7">
        <v>20</v>
      </c>
      <c r="J35" s="7"/>
      <c r="K35" s="4" t="str">
        <f>IF(G35="","",VLOOKUP(G35,Технологии!$A$11:$BF$50,44,FALSE))</f>
        <v>ИЗУЧЕНО</v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28.5">
      <c r="A36" s="3" t="s">
        <v>293</v>
      </c>
      <c r="B36" s="7">
        <v>0</v>
      </c>
      <c r="C36" s="7">
        <v>0</v>
      </c>
      <c r="D36" s="3"/>
      <c r="E36" s="3"/>
      <c r="F36" s="3"/>
      <c r="G36" s="28" t="s">
        <v>77</v>
      </c>
      <c r="H36" s="4" t="str">
        <f>IF(G36="","",VLOOKUP(G36,Технологии!$A$11:$D$50,4,FALSE))</f>
        <v>Чиплетная компоновка ИИ-процессоров 2.5D/3D</v>
      </c>
      <c r="I36" s="7">
        <v>5</v>
      </c>
      <c r="J36" s="7"/>
      <c r="K36" s="4" t="str">
        <f>IF(G36="","",VLOOKUP(G36,Технологии!$A$11:$BF$50,44,FALSE))</f>
        <v>ОТКРЫТО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42.75">
      <c r="A37" s="3" t="s">
        <v>294</v>
      </c>
      <c r="B37" s="7">
        <v>0</v>
      </c>
      <c r="C37" s="7">
        <v>20</v>
      </c>
      <c r="D37" s="3"/>
      <c r="E37" s="3"/>
      <c r="F37" s="3"/>
      <c r="G37" s="28" t="s">
        <v>130</v>
      </c>
      <c r="H37" s="4" t="str">
        <f>IF(G37="","",VLOOKUP(G37,Технологии!$A$11:$D$50,4,FALSE))</f>
        <v>Графовые базы знаний на RDF/OWL с семантическими запросами</v>
      </c>
      <c r="I37" s="7">
        <v>10</v>
      </c>
      <c r="J37" s="7"/>
      <c r="K37" s="4" t="str">
        <f>IF(G37="","",VLOOKUP(G37,Технологии!$A$11:$BF$50,44,FALSE))</f>
        <v>ОТКРЫТО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28.5">
      <c r="A38" s="3" t="s">
        <v>295</v>
      </c>
      <c r="B38" s="7">
        <v>0</v>
      </c>
      <c r="C38" s="7">
        <v>0</v>
      </c>
      <c r="D38" s="3"/>
      <c r="E38" s="3"/>
      <c r="F38" s="3"/>
      <c r="G38" s="28" t="s">
        <v>138</v>
      </c>
      <c r="H38" s="4" t="str">
        <f>IF(G38="","",VLOOKUP(G38,Технологии!$A$11:$D$50,4,FALSE))</f>
        <v>Федеративные каталоги данных и машиночитаемые онтологии</v>
      </c>
      <c r="I38" s="7">
        <v>10</v>
      </c>
      <c r="J38" s="7"/>
      <c r="K38" s="4" t="str">
        <f>IF(G38="","",VLOOKUP(G38,Технологии!$A$11:$BF$50,44,FALSE))</f>
        <v>ОТКРЫТО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10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5"/>
  <sheetViews>
    <sheetView topLeftCell="A22" workbookViewId="0">
      <selection sqref="A1:X2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566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95.366882847814296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96.048286790579496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80.349709328607702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97.040045455170485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2026'!B8+'Китай 2026'!D8+('Китай 2026'!C8+'Китай 2026'!F8+'Китай 2026'!G8)+(0.35*LN(1+0.6*('Ход 2026'!B14*(1+'Эффекты технологий'!J$12)))*POWER(MAX(0,1-'Китай 2026'!I8/10),0.7))))</f>
        <v>9.5500000000000007</v>
      </c>
      <c r="C8" s="3">
        <f>MIN(1,(MIN(1,'Китай 2026'!C8+'Китай 2026'!F8+(0.08*LN(1+0.5*('Ход 2026'!C14*(1+'Эффекты технологий'!J$12)))*MAX(0,1-('Китай 2026'!C8+'Китай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9.5500000000000007</v>
      </c>
      <c r="J8" s="10">
        <f>SUMIFS('Эффекты технологий'!$K$25:$K$240,'Эффекты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2026'!B9+'Китай 2026'!D9+('Китай 2026'!C9+'Китай 2026'!F9+'Китай 2026'!G9)+(0.35*LN(1+0.6*('Ход 2026'!B15*(1+'Эффекты технологий'!J$12)))*POWER(MAX(0,1-'Китай 2026'!I9/10),0.7))))</f>
        <v>9.6</v>
      </c>
      <c r="C9" s="3">
        <f>MIN(1,(MIN(1,'Китай 2026'!C9+'Китай 2026'!F9+(0.08*LN(1+0.5*('Ход 2026'!C15*(1+'Эффекты технологий'!J$12)))*MAX(0,1-('Китай 2026'!C9+'Китай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9.6</v>
      </c>
      <c r="J9" s="10">
        <f>SUMIFS('Эффекты технологий'!$K$25:$K$240,'Эффекты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2026'!B10+'Китай 2026'!D10+('Китай 2026'!C10+'Китай 2026'!F10+'Китай 2026'!G10)+(0.35*LN(1+0.6*('Ход 2026'!B16*(1+'Эффекты технологий'!J$12)))*POWER(MAX(0,1-'Китай 2026'!I10/10),0.7))))</f>
        <v>9.1999999999999993</v>
      </c>
      <c r="C10" s="3">
        <f>MIN(1,(MIN(1,'Китай 2026'!C10+'Китай 2026'!F10+(0.08*LN(1+0.5*('Ход 2026'!C16*(1+'Эффекты технологий'!J$12)))*MAX(0,1-('Китай 2026'!C10+'Китай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9.1999999999999993</v>
      </c>
      <c r="J10" s="10">
        <f>SUMIFS('Эффекты технологий'!$K$25:$K$240,'Эффекты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2026'!B11+'Китай 2026'!D11+('Китай 2026'!C11+'Китай 2026'!F11+'Китай 2026'!G11)+(0.35*LN(1+0.6*('Ход 2026'!B17*(1+'Эффекты технологий'!J$12)))*POWER(MAX(0,1-'Китай 2026'!I11/10),0.7))))</f>
        <v>6.9766167541528175</v>
      </c>
      <c r="C11" s="3">
        <f>MIN(1,(MIN(1,'Китай 2026'!C11+'Китай 2026'!F11+(0.08*LN(1+0.5*('Ход 2026'!C17*(1+'Эффекты технологий'!J$12)))*MAX(0,1-('Китай 2026'!C11+'Китай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6.9766167541528175</v>
      </c>
      <c r="J11" s="10">
        <f>SUMIFS('Эффекты технологий'!$K$25:$K$240,'Эффекты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2026'!L11+'Китай 2026'!N11+('Китай 2026'!M11+'Китай 2026'!P11+'Китай 2026'!Q11)))</f>
        <v>9.75</v>
      </c>
      <c r="M11" s="3">
        <f>MIN(1,(MIN(1,'Китай 2026'!M11+'Китай 2026'!P11+(0.1*LN(1+0.5*('Ход 2026'!H13*(1+'Эффекты технологий'!J$10)))*POWER(MAX(0,1-'Китай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9.75</v>
      </c>
      <c r="T11" s="10">
        <f>SUMIFS('Эффекты технологий'!$K$25:$K$240,'Эффекты технологий'!$C$25:$C$240,$K11,'Эффекты технологий'!$D$25:$D$240,"Значение")</f>
        <v>0</v>
      </c>
      <c r="U11" s="3" t="s">
        <v>534</v>
      </c>
      <c r="V11" s="7">
        <f>'Китай 2026'!V11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2026'!B12+'Китай 2026'!D12+('Китай 2026'!C12+'Китай 2026'!F12+'Китай 2026'!G12)+(0.35*LN(1+0.6*('Ход 2026'!B18*(1+'Эффекты технологий'!J$12)))*POWER(MAX(0,1-'Китай 2026'!I12/10),0.7))))</f>
        <v>9.0500000000000007</v>
      </c>
      <c r="C12" s="3">
        <f>MIN(1,(MIN(1,'Китай 2026'!C12+'Китай 2026'!F12+(0.08*LN(1+0.5*('Ход 2026'!C18*(1+'Эффекты технологий'!J$12)))*MAX(0,1-('Китай 2026'!C12+'Китай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9.0500000000000007</v>
      </c>
      <c r="J12" s="10">
        <f>SUMIFS('Эффекты технологий'!$K$25:$K$240,'Эффекты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2026'!L12+'Китай 2026'!N12+('Китай 2026'!M12+'Китай 2026'!P12+'Китай 2026'!Q12)))</f>
        <v>8.8000000000000007</v>
      </c>
      <c r="M12" s="3">
        <f>MIN(1,(MIN(1,'Китай 2026'!M12+'Китай 2026'!P12+(0.1*LN(1+0.5*('Ход 2026'!H14*(1+'Эффекты технологий'!J$10)))*POWER(MAX(0,1-'Китай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8.8000000000000007</v>
      </c>
      <c r="T12" s="10">
        <f>SUMIFS('Эффекты технологий'!$K$25:$K$240,'Эффекты технологий'!$C$25:$C$240,$K12,'Эффекты технологий'!$D$25:$D$240,"Значение")</f>
        <v>0</v>
      </c>
      <c r="U12" s="3" t="s">
        <v>536</v>
      </c>
      <c r="V12" s="7">
        <f>'Китай 2026'!V12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2026'!B13+'Китай 2026'!D13+('Китай 2026'!C13+'Китай 2026'!F13+'Китай 2026'!G13)+(0.35*LN(1+0.6*('Ход 2026'!B19*(1+'Эффекты технологий'!J$12)))*POWER(MAX(0,1-'Китай 2026'!I13/10),0.7))))</f>
        <v>8.9499999999999993</v>
      </c>
      <c r="C13" s="3">
        <f>MIN(1,(MIN(1,'Китай 2026'!C13+'Китай 2026'!F13+(0.08*LN(1+0.5*('Ход 2026'!C19*(1+'Эффекты технологий'!J$12)))*MAX(0,1-('Китай 2026'!C13+'Китай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8.9499999999999993</v>
      </c>
      <c r="J13" s="10">
        <f>SUMIFS('Эффекты технологий'!$K$25:$K$240,'Эффекты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2026'!L13+'Китай 2026'!N13+('Китай 2026'!M13+'Китай 2026'!P13+'Китай 2026'!Q13)))</f>
        <v>9.65</v>
      </c>
      <c r="M13" s="3">
        <f>MIN(1,(MIN(1,'Китай 2026'!M13+'Китай 2026'!P13+(0.1*LN(1+0.5*('Ход 2026'!H15*(1+'Эффекты технологий'!J$10)))*POWER(MAX(0,1-'Китай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9.65</v>
      </c>
      <c r="T13" s="10">
        <f>SUMIFS('Эффекты технологий'!$K$25:$K$240,'Эффекты технологий'!$C$25:$C$240,$K13,'Эффекты технологий'!$D$25:$D$240,"Значение")</f>
        <v>0</v>
      </c>
      <c r="U13" s="3" t="s">
        <v>538</v>
      </c>
      <c r="V13" s="7">
        <f>'Китай 2026'!V13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2026'!B14+'Китай 2026'!D14+('Китай 2026'!C14+'Китай 2026'!F14+'Китай 2026'!G14)+(0.35*LN(1+0.6*('Ход 2026'!B20*(1+'Эффекты технологий'!J$12)))*POWER(MAX(0,1-'Китай 2026'!I14/10),0.7))))</f>
        <v>7.95</v>
      </c>
      <c r="C14" s="3">
        <f>MIN(1,(MIN(1,'Китай 2026'!C14+'Китай 2026'!F14+(0.08*LN(1+0.5*('Ход 2026'!C20*(1+'Эффекты технологий'!J$12)))*MAX(0,1-('Китай 2026'!C14+'Китай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8.15</v>
      </c>
      <c r="J14" s="10">
        <f>SUMIFS('Эффекты технологий'!$K$25:$K$240,'Эффекты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2026'!L14+'Китай 2026'!N14+('Китай 2026'!M14+'Китай 2026'!P14+'Китай 2026'!Q14)))</f>
        <v>8.8000000000000007</v>
      </c>
      <c r="M14" s="3">
        <f>MIN(1,(MIN(1,'Китай 2026'!M14+'Китай 2026'!P14+(0.1*LN(1+0.5*('Ход 2026'!H16*(1+'Эффекты технологий'!J$10)))*POWER(MAX(0,1-'Китай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8.8000000000000007</v>
      </c>
      <c r="T14" s="10">
        <f>SUMIFS('Эффекты технологий'!$K$25:$K$240,'Эффекты технологий'!$C$25:$C$240,$K14,'Эффекты технологий'!$D$25:$D$240,"Значение")</f>
        <v>0</v>
      </c>
      <c r="U14" s="3" t="s">
        <v>540</v>
      </c>
      <c r="V14" s="7">
        <f>'Китай 2026'!V14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2026'!B15+'Китай 2026'!D15+('Китай 2026'!C15+'Китай 2026'!F15+'Китай 2026'!G15)+(0.35*LN(1+0.6*('Ход 2026'!B21*(1+'Эффекты технологий'!J$12)))*POWER(MAX(0,1-'Китай 2026'!I15/10),0.7))))</f>
        <v>8.85</v>
      </c>
      <c r="C15" s="3">
        <f>MIN(1,(MIN(1,'Китай 2026'!C15+'Китай 2026'!F15+(0.08*LN(1+0.5*('Ход 2026'!C21*(1+'Эффекты технологий'!J$12)))*MAX(0,1-('Китай 2026'!C15+'Китай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8.85</v>
      </c>
      <c r="J15" s="10">
        <f>SUMIFS('Эффекты технологий'!$K$25:$K$240,'Эффекты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2026'!L15+'Китай 2026'!N15+('Китай 2026'!M15+'Китай 2026'!P15+'Китай 2026'!Q15)))</f>
        <v>8.75</v>
      </c>
      <c r="M15" s="3">
        <f>MIN(1,(MIN(1,'Китай 2026'!M15+'Китай 2026'!P15+(0.1*LN(1+0.5*('Ход 2026'!H17*(1+'Эффекты технологий'!J$10)))*POWER(MAX(0,1-'Китай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8.75</v>
      </c>
      <c r="T15" s="10">
        <f>SUMIFS('Эффекты технологий'!$K$25:$K$240,'Эффекты технологий'!$C$25:$C$240,$K15,'Эффекты технологий'!$D$25:$D$240,"Значение")</f>
        <v>0</v>
      </c>
      <c r="U15" s="3" t="s">
        <v>542</v>
      </c>
      <c r="V15" s="7">
        <f>'Китай 2026'!V15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2026'!B16+'Китай 2026'!D16+('Китай 2026'!C16+'Китай 2026'!F16+'Китай 2026'!G16)+(0.35*LN(1+0.6*('Ход 2026'!B22*(1+'Эффекты технологий'!J$12)))*POWER(MAX(0,1-'Китай 2026'!I16/10),0.7))))</f>
        <v>10</v>
      </c>
      <c r="C16" s="3">
        <f>MIN(1,(MIN(1,'Китай 2026'!C16+'Китай 2026'!F16+(0.08*LN(1+0.5*('Ход 2026'!C22*(1+'Эффекты технологий'!J$12)))*MAX(0,1-('Китай 2026'!C16+'Китай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технологий'!$K$25:$K$240,'Эффекты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2026'!L16+'Китай 2026'!N16+('Китай 2026'!M16+'Китай 2026'!P16+'Китай 2026'!Q16)))</f>
        <v>9.35</v>
      </c>
      <c r="M16" s="3">
        <f>MIN(1,(MIN(1,'Китай 2026'!M16+'Китай 2026'!P16+(0.1*LN(1+0.5*('Ход 2026'!H18*(1+'Эффекты технологий'!J$10)))*POWER(MAX(0,1-'Китай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9.35</v>
      </c>
      <c r="T16" s="10">
        <f>SUMIFS('Эффекты технологий'!$K$25:$K$240,'Эффекты технологий'!$C$25:$C$240,$K16,'Эффекты технологий'!$D$25:$D$240,"Значение")</f>
        <v>0</v>
      </c>
      <c r="U16" s="3" t="s">
        <v>544</v>
      </c>
      <c r="V16" s="7">
        <f>'Китай 2026'!V16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2026'!B17+'Китай 2026'!D17+('Китай 2026'!C17+'Китай 2026'!F17+'Китай 2026'!G17)+(0.35*LN(1+0.6*('Ход 2026'!B23*(1+'Эффекты технологий'!J$12)))*POWER(MAX(0,1-'Китай 2026'!I17/10),0.7))))</f>
        <v>10</v>
      </c>
      <c r="C17" s="3">
        <f>MIN(1,(MIN(1,'Китай 2026'!C17+'Китай 2026'!F17+(0.08*LN(1+0.5*('Ход 2026'!C23*(1+'Эффекты технологий'!J$12)))*MAX(0,1-('Китай 2026'!C17+'Китай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технологий'!$K$25:$K$240,'Эффекты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2026'!L17+'Китай 2026'!N17+('Китай 2026'!M17+'Китай 2026'!P17+'Китай 2026'!Q17)))</f>
        <v>8.85</v>
      </c>
      <c r="M17" s="3">
        <f>MIN(1,(MIN(1,'Китай 2026'!M17+'Китай 2026'!P17+(0.1*LN(1+0.5*('Ход 2026'!H19*(1+'Эффекты технологий'!J$10)))*POWER(MAX(0,1-'Китай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8.85</v>
      </c>
      <c r="T17" s="10">
        <f>SUMIFS('Эффекты технологий'!$K$25:$K$240,'Эффекты технологий'!$C$25:$C$240,$K17,'Эффекты технологий'!$D$25:$D$240,"Значение")</f>
        <v>0</v>
      </c>
      <c r="U17" s="3" t="s">
        <v>546</v>
      </c>
      <c r="V17" s="7">
        <f>'Китай 2026'!V17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2026'!L18+'Китай 2026'!N18+('Китай 2026'!M18+'Китай 2026'!P18+'Китай 2026'!Q18)))</f>
        <v>8.8000000000000007</v>
      </c>
      <c r="M18" s="3">
        <f>MIN(1,(MIN(1,'Китай 2026'!M18+'Китай 2026'!P18+(0.1*LN(1+0.5*('Ход 2026'!H20*(1+'Эффекты технологий'!J$10)))*POWER(MAX(0,1-'Китай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8.8000000000000007</v>
      </c>
      <c r="T18" s="10">
        <f>SUMIFS('Эффекты технологий'!$K$25:$K$240,'Эффекты технологий'!$C$25:$C$240,$K18,'Эффекты технологий'!$D$25:$D$240,"Значение")</f>
        <v>0</v>
      </c>
      <c r="U18" s="3" t="s">
        <v>548</v>
      </c>
      <c r="V18" s="7">
        <f>'Китай 2026'!V18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2026'!B19+'Китай 2026'!D19+('Китай 2026'!C19+'Китай 2026'!F19+'Китай 2026'!G19)+(0.35*LN(1+0.6*'Ход 2026'!B25)*POWER(MAX(0,1-'Китай 2026'!I19/10),0.7))))</f>
        <v>8.3033200137544654</v>
      </c>
      <c r="C19" s="3">
        <f>MIN(1,(MIN(1,'Китай 2026'!C19+'Китай 2026'!F19+(0.08*LN(1+0.5*'Ход 2026'!C25)*MAX(0,1-('Китай 2026'!C19+'Китай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8.3033200137544654</v>
      </c>
      <c r="J19" s="10">
        <f>SUMIFS('Эффекты технологий'!$K$25:$K$240,'Эффекты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2026'!V19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2026'!B20+'Китай 2026'!D20+('Китай 2026'!C20+'Китай 2026'!F20+'Китай 2026'!G20)+(0.35*LN(1+0.6*'Ход 2026'!B26)*POWER(MAX(0,1-'Китай 2026'!I20/10),0.7))))</f>
        <v>8.9304906499574752</v>
      </c>
      <c r="C20" s="3">
        <f>MIN(1,(MIN(1,'Китай 2026'!C20+'Китай 2026'!F20+(0.08*LN(1+0.5*'Ход 2026'!C26)*MAX(0,1-('Китай 2026'!C20+'Китай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8.9304906499574752</v>
      </c>
      <c r="J20" s="10">
        <f>SUMIFS('Эффекты технологий'!$K$25:$K$240,'Эффекты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2026'!V20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2026'!B21+'Китай 2026'!D21+('Китай 2026'!C21+'Китай 2026'!F21+'Китай 2026'!G21)+(0.35*LN(1+0.6*'Ход 2026'!B27)*POWER(MAX(0,1-'Китай 2026'!I21/10),0.7))))</f>
        <v>9.1999999999999993</v>
      </c>
      <c r="C21" s="3">
        <f>MIN(1,(MIN(1,'Китай 2026'!C21+'Китай 2026'!F21+(0.08*LN(1+0.5*'Ход 2026'!C27)*MAX(0,1-('Китай 2026'!C21+'Китай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9.1999999999999993</v>
      </c>
      <c r="J21" s="10">
        <f>SUMIFS('Эффекты технологий'!$K$25:$K$240,'Эффекты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2026'!V21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2026'!B22+'Китай 2026'!D22+('Китай 2026'!C22+'Китай 2026'!F22+'Китай 2026'!G22)+(0.35*LN(1+0.6*'Ход 2026'!B28)*POWER(MAX(0,1-'Китай 2026'!I22/10),0.7))))</f>
        <v>10</v>
      </c>
      <c r="C22" s="3">
        <f>MIN(1,(MIN(1,'Китай 2026'!C22+'Китай 2026'!F22+(0.08*LN(1+0.5*'Ход 2026'!C28)*MAX(0,1-('Китай 2026'!C22+'Китай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технологий'!$K$25:$K$240,'Эффекты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2026'!V22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2026'!B23+'Китай 2026'!D23+('Китай 2026'!C23+'Китай 2026'!F23+'Китай 2026'!G23)+(0.35*LN(1+0.6*'Ход 2026'!B29)*POWER(MAX(0,1-'Китай 2026'!I23/10),0.7))))</f>
        <v>9.65</v>
      </c>
      <c r="C23" s="3">
        <f>MIN(1,(MIN(1,'Китай 2026'!C23+'Китай 2026'!F23+(0.08*LN(1+0.5*'Ход 2026'!C29)*MAX(0,1-('Китай 2026'!C23+'Китай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9.65</v>
      </c>
      <c r="J23" s="10">
        <f>SUMIFS('Эффекты технологий'!$K$25:$K$240,'Эффекты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2026'!V23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2026'!V24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2026'!B25+'Китай 2026'!D25+('Китай 2026'!C25+'Китай 2026'!F25+'Китай 2026'!G25)+(0.35*LN(1+0.6*'Ход 2026'!B31)*POWER(MAX(0,1-'Китай 2026'!I25/10),0.7))))</f>
        <v>10</v>
      </c>
      <c r="C25" s="3">
        <f>MIN(1,(MIN(1,'Китай 2026'!C25+'Китай 2026'!F25+(0.08*LN(1+0.5*'Ход 2026'!C31)*MAX(0,1-('Китай 2026'!C25+'Китай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технологий'!$K$25:$K$240,'Эффекты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2026'!V25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2026'!B26+'Китай 2026'!D26+('Китай 2026'!C26+'Китай 2026'!F26+'Китай 2026'!G26)+(0.35*LN(1+0.6*'Ход 2026'!B32)*POWER(MAX(0,1-'Китай 2026'!I26/10),0.7))))</f>
        <v>9.65</v>
      </c>
      <c r="C26" s="3">
        <f>MIN(1,(MIN(1,'Китай 2026'!C26+'Китай 2026'!F26+(0.08*LN(1+0.5*'Ход 2026'!C32)*MAX(0,1-('Китай 2026'!C26+'Китай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9.65</v>
      </c>
      <c r="J26" s="10">
        <f>SUMIFS('Эффекты технологий'!$K$25:$K$240,'Эффекты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2026'!V26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2026'!B27+'Китай 2026'!D27+('Китай 2026'!C27+'Китай 2026'!F27+'Китай 2026'!G27)+(0.35*LN(1+0.6*'Ход 2026'!B33)*POWER(MAX(0,1-'Китай 2026'!I27/10),0.7))))</f>
        <v>9.6</v>
      </c>
      <c r="C27" s="3">
        <f>MIN(1,(MIN(1,'Китай 2026'!C27+'Китай 2026'!F27+(0.08*LN(1+0.5*'Ход 2026'!C33)*MAX(0,1-('Китай 2026'!C27+'Китай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9.6</v>
      </c>
      <c r="J27" s="10">
        <f>SUMIFS('Эффекты технологий'!$K$25:$K$240,'Эффекты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2026'!B28+'Китай 2026'!D28+('Китай 2026'!C28+'Китай 2026'!F28+'Китай 2026'!G28)+(0.35*LN(1+0.6*'Ход 2026'!B34)*POWER(MAX(0,1-'Китай 2026'!I28/10),0.7))))</f>
        <v>9.65</v>
      </c>
      <c r="C28" s="3">
        <f>MIN(1,(MIN(1,'Китай 2026'!C28+'Китай 2026'!F28+(0.08*LN(1+0.5*'Ход 2026'!C34)*MAX(0,1-('Китай 2026'!C28+'Китай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9.65</v>
      </c>
      <c r="J28" s="10">
        <f>SUMIFS('Эффекты технологий'!$K$25:$K$240,'Эффекты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2026'!B29+'Китай 2026'!D29+('Китай 2026'!C29+'Китай 2026'!F29+'Китай 2026'!G29)+(0.35*LN(1+0.6*'Ход 2026'!B35)*POWER(MAX(0,1-'Китай 2026'!I29/10),0.7))))</f>
        <v>8.75</v>
      </c>
      <c r="C29" s="3">
        <f>MIN(1,(MIN(1,'Китай 2026'!C29+'Китай 2026'!F29+(0.08*LN(1+0.5*'Ход 2026'!C35)*MAX(0,1-('Китай 2026'!C29+'Китай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8.75</v>
      </c>
      <c r="J29" s="10">
        <f>SUMIFS('Эффекты технологий'!$K$25:$K$240,'Эффекты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2026'!B30+'Китай 2026'!D30+('Китай 2026'!C30+'Китай 2026'!F30+'Китай 2026'!G30)+(0.35*LN(1+0.6*'Ход 2026'!B36)*POWER(MAX(0,1-'Китай 2026'!I30/10),0.7))))</f>
        <v>7.7</v>
      </c>
      <c r="C30" s="3">
        <f>MIN(1,(MIN(1,'Китай 2026'!C30+'Китай 2026'!F30+(0.08*LN(1+0.5*'Ход 2026'!C36)*MAX(0,1-('Китай 2026'!C30+'Китай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7.7</v>
      </c>
      <c r="J30" s="10">
        <f>SUMIFS('Эффекты технологий'!$K$25:$K$240,'Эффекты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2026'!B31+'Китай 2026'!D31+('Китай 2026'!C31+'Китай 2026'!F31+'Китай 2026'!G31)+(0.35*LN(1+0.6*'Ход 2026'!B37)*POWER(MAX(0,1-'Китай 2026'!I31/10),0.7))))</f>
        <v>7.1</v>
      </c>
      <c r="C31" s="3">
        <f>MIN(1,(MIN(1,'Китай 2026'!C31+'Китай 2026'!F31+(0.08*LN(1+0.5*'Ход 2026'!C37)*MAX(0,1-('Китай 2026'!C31+'Китай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7.1</v>
      </c>
      <c r="J31" s="10">
        <f>SUMIFS('Эффекты технологий'!$K$25:$K$240,'Эффекты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2026'!B32+'Китай 2026'!D32+('Китай 2026'!C32+'Китай 2026'!F32+'Китай 2026'!G32)+(0.35*LN(1+0.6*'Ход 2026'!B38)*POWER(MAX(0,1-'Китай 2026'!I32/10),0.7))))</f>
        <v>9.15</v>
      </c>
      <c r="C32" s="3">
        <f>MIN(1,(MIN(1,'Китай 2026'!C32+'Китай 2026'!F32+(0.08*LN(1+0.5*'Ход 2026'!C38)*MAX(0,1-('Китай 2026'!C32+'Китай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9.15</v>
      </c>
      <c r="J32" s="10">
        <f>SUMIFS('Эффекты технологий'!$K$25:$K$240,'Эффекты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2026'!B34+'Китай 2026'!D34+('Китай 2026'!C34+'Китай 2026'!F34+'Китай 2026'!G34)+(0.35*LN(1+0.6*'Ход 2026'!B40)*POWER(MAX(0,1-'Китай 2026'!I34/10),0.7))))</f>
        <v>9.65</v>
      </c>
      <c r="C34" s="3">
        <f>MIN(1,(MIN(1,'Китай 2026'!C34+'Китай 2026'!F34+(0.08*LN(1+0.5*'Ход 2026'!C40)*MAX(0,1-('Китай 2026'!C34+'Китай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9.65</v>
      </c>
      <c r="J34" s="10">
        <f>SUMIFS('Эффекты технологий'!$K$25:$K$240,'Эффекты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2026'!B35+'Китай 2026'!D35+('Китай 2026'!C35+'Китай 2026'!F35+'Китай 2026'!G35)+(0.35*LN(1+0.6*'Ход 2026'!B41)*POWER(MAX(0,1-'Китай 2026'!I35/10),0.7))))</f>
        <v>10</v>
      </c>
      <c r="C35" s="3">
        <f>MIN(1,(MIN(1,'Китай 2026'!C35+'Китай 2026'!F35+(0.08*LN(1+0.5*'Ход 2026'!C41)*MAX(0,1-('Китай 2026'!C35+'Китай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технологий'!$K$25:$K$240,'Эффекты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2026'!B36+'Китай 2026'!D36+('Китай 2026'!C36+'Китай 2026'!F36+'Китай 2026'!G36)+(0.35*LN(1+0.6*'Ход 2026'!B42)*POWER(MAX(0,1-'Китай 2026'!I36/10),0.7))))</f>
        <v>9.65</v>
      </c>
      <c r="C36" s="3">
        <f>MIN(1,(MIN(1,'Китай 2026'!C36+'Китай 2026'!F36+(0.08*LN(1+0.5*'Ход 2026'!C42)*MAX(0,1-('Китай 2026'!C36+'Китай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9.65</v>
      </c>
      <c r="J36" s="10">
        <f>SUMIFS('Эффекты технологий'!$K$25:$K$240,'Эффекты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2026'!B37+'Китай 2026'!D37+('Китай 2026'!C37+'Китай 2026'!F37+'Китай 2026'!G37)+(0.35*LN(1+0.6*'Ход 2026'!B43)*POWER(MAX(0,1-'Китай 2026'!I37/10),0.7))))</f>
        <v>9.65</v>
      </c>
      <c r="C37" s="3">
        <f>MIN(1,(MIN(1,'Китай 2026'!C37+'Китай 2026'!F37+(0.08*LN(1+0.5*'Ход 2026'!C43)*MAX(0,1-('Китай 2026'!C37+'Китай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9.65</v>
      </c>
      <c r="J37" s="10">
        <f>SUMIFS('Эффекты технологий'!$K$25:$K$240,'Эффекты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2026'!B38+'Китай 2026'!D38+('Китай 2026'!C38+'Китай 2026'!F38+'Китай 2026'!G38)+(0.35*LN(1+0.6*'Ход 2026'!B44)*POWER(MAX(0,1-'Китай 2026'!I38/10),0.7))))</f>
        <v>9.6</v>
      </c>
      <c r="C38" s="3">
        <f>MIN(1,(MIN(1,'Китай 2026'!C38+'Китай 2026'!F38+(0.08*LN(1+0.5*'Ход 2026'!C44)*MAX(0,1-('Китай 2026'!C38+'Китай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9.6</v>
      </c>
      <c r="J38" s="10">
        <f>SUMIFS('Эффекты технологий'!$K$25:$K$240,'Эффекты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2026'!B39+'Китай 2026'!D39+('Китай 2026'!C39+'Китай 2026'!F39+'Китай 2026'!G39)+(0.35*LN(1+0.6*'Ход 2026'!B45)*POWER(MAX(0,1-'Китай 2026'!I39/10),0.7))))</f>
        <v>9.15</v>
      </c>
      <c r="C39" s="3">
        <f>MIN(1,(MIN(1,'Китай 2026'!C39+'Китай 2026'!F39+(0.08*LN(1+0.5*'Ход 2026'!C45)*MAX(0,1-('Китай 2026'!C39+'Китай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9.15</v>
      </c>
      <c r="J39" s="10">
        <f>SUMIFS('Эффекты технологий'!$K$25:$K$240,'Эффекты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2026'!B40+'Китай 2026'!D40+('Китай 2026'!C40+'Китай 2026'!F40+'Китай 2026'!G40)+(0.35*LN(1+0.6*'Ход 2026'!B46)*POWER(MAX(0,1-'Китай 2026'!I40/10),0.7))))</f>
        <v>9.1</v>
      </c>
      <c r="C40" s="3">
        <f>MIN(1,(MIN(1,'Китай 2026'!C40+'Китай 2026'!F40+(0.08*LN(1+0.5*'Ход 2026'!C46)*MAX(0,1-('Китай 2026'!C40+'Китай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9.1</v>
      </c>
      <c r="J40" s="10">
        <f>SUMIFS('Эффекты технологий'!$K$25:$K$240,'Эффекты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2026'!B41+'Китай 2026'!D41+('Китай 2026'!C41+'Китай 2026'!F41+'Китай 2026'!G41)+(0.35*LN(1+0.6*'Ход 2026'!B47)*POWER(MAX(0,1-'Китай 2026'!I41/10),0.7))))</f>
        <v>9.6</v>
      </c>
      <c r="C41" s="3">
        <f>MIN(1,(MIN(1,'Китай 2026'!C41+'Китай 2026'!F41+(0.08*LN(1+0.5*'Ход 2026'!C47)*MAX(0,1-('Китай 2026'!C41+'Китай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9.6</v>
      </c>
      <c r="J41" s="10">
        <f>SUMIFS('Эффекты технологий'!$K$25:$K$240,'Эффекты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2026'!B42+'Китай 2026'!D42+('Китай 2026'!C42+'Китай 2026'!F42+'Китай 2026'!G42)+(0.35*LN(1+0.6*'Ход 2026'!B48)*POWER(MAX(0,1-'Китай 2026'!I42/10),0.7))))</f>
        <v>10</v>
      </c>
      <c r="C42" s="3">
        <f>MIN(1,(MIN(1,'Китай 2026'!C42+'Китай 2026'!F42+(0.08*LN(1+0.5*'Ход 2026'!C48)*MAX(0,1-('Китай 2026'!C42+'Китай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технологий'!$K$25:$K$240,'Эффекты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2026'!B44+'Китай 2026'!D44+('Китай 2026'!C44+'Китай 2026'!F44+'Китай 2026'!G44)+(0.35*LN(1+0.6*'Ход 2026'!B50)*POWER(MAX(0,1-'Китай 2026'!I44/10),0.7))))</f>
        <v>7.7</v>
      </c>
      <c r="C44" s="3">
        <f>MIN(1,(MIN(1,'Китай 2026'!C44+'Китай 2026'!F44+(0.08*LN(1+0.5*'Ход 2026'!C50)*MAX(0,1-('Китай 2026'!C44+'Китай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7.7</v>
      </c>
      <c r="J44" s="10">
        <f>SUMIFS('Эффекты технологий'!$K$25:$K$240,'Эффекты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2026'!B45+'Китай 2026'!D45+('Китай 2026'!C45+'Китай 2026'!F45+'Китай 2026'!G45)+(0.35*LN(1+0.6*'Ход 2026'!B51)*POWER(MAX(0,1-'Китай 2026'!I45/10),0.7))))</f>
        <v>9.6</v>
      </c>
      <c r="C45" s="3">
        <f>MIN(1,(MIN(1,'Китай 2026'!C45+'Китай 2026'!F45+(0.08*LN(1+0.5*'Ход 2026'!C51)*MAX(0,1-('Китай 2026'!C45+'Китай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9.6</v>
      </c>
      <c r="J45" s="10">
        <f>SUMIFS('Эффекты технологий'!$K$25:$K$240,'Эффекты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2026'!B46+'Китай 2026'!D46+('Китай 2026'!C46+'Китай 2026'!F46+'Китай 2026'!G46)+(0.35*LN(1+0.6*'Ход 2026'!B52)*POWER(MAX(0,1-'Китай 2026'!I46/10),0.7))))</f>
        <v>9.6</v>
      </c>
      <c r="C46" s="3">
        <f>MIN(1,(MIN(1,'Китай 2026'!C46+'Китай 2026'!F46+(0.08*LN(1+0.5*'Ход 2026'!C52)*MAX(0,1-('Китай 2026'!C46+'Китай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9.6</v>
      </c>
      <c r="J46" s="10">
        <f>SUMIFS('Эффекты технологий'!$K$25:$K$240,'Эффекты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2026'!B47+'Китай 2026'!D47+('Китай 2026'!C47+'Китай 2026'!F47+'Китай 2026'!G47)+(0.35*LN(1+0.6*'Ход 2026'!B53)*POWER(MAX(0,1-'Китай 2026'!I47/10),0.7))))</f>
        <v>5.9</v>
      </c>
      <c r="C47" s="3">
        <f>MIN(1,(MIN(1,'Китай 2026'!C47+'Китай 2026'!F47+(0.08*LN(1+0.5*'Ход 2026'!C53)*MAX(0,1-('Китай 2026'!C47+'Китай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5.9</v>
      </c>
      <c r="J47" s="10">
        <f>SUMIFS('Эффекты технологий'!$K$25:$K$240,'Эффекты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2026'!B48+'Китай 2026'!D48+('Китай 2026'!C48+'Китай 2026'!F48+'Китай 2026'!G48)+(0.35*LN(1+0.6*'Ход 2026'!B54)*POWER(MAX(0,1-'Китай 2026'!I48/10),0.7))))</f>
        <v>8.5500000000000007</v>
      </c>
      <c r="C48" s="3">
        <f>MIN(1,(MIN(1,'Китай 2026'!C48+'Китай 2026'!F48+(0.08*LN(1+0.5*'Ход 2026'!C54)*MAX(0,1-('Китай 2026'!C48+'Китай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8.5500000000000007</v>
      </c>
      <c r="J48" s="10">
        <f>SUMIFS('Эффекты технологий'!$K$25:$K$240,'Эффекты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2026'!B49+'Китай 2026'!D49+('Китай 2026'!C49+'Китай 2026'!F49+'Китай 2026'!G49)+(0.35*LN(1+0.6*'Ход 2026'!B55)*POWER(MAX(0,1-'Китай 2026'!I49/10),0.7))))</f>
        <v>9.25</v>
      </c>
      <c r="C49" s="3">
        <f>MIN(1,(MIN(1,'Китай 2026'!C49+'Китай 2026'!F49+(0.08*LN(1+0.5*'Ход 2026'!C55)*MAX(0,1-('Китай 2026'!C49+'Китай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9.25</v>
      </c>
      <c r="J49" s="10">
        <f>SUMIFS('Эффекты технологий'!$K$25:$K$240,'Эффекты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2026'!B50+'Китай 2026'!D50+('Китай 2026'!C50+'Китай 2026'!F50+'Китай 2026'!G50)+(0.35*LN(1+0.6*'Ход 2026'!B56)*POWER(MAX(0,1-'Китай 2026'!I50/10),0.7))))</f>
        <v>10</v>
      </c>
      <c r="C50" s="3">
        <f>MIN(1,(MIN(1,'Китай 2026'!C50+'Китай 2026'!F50+(0.08*LN(1+0.5*'Ход 2026'!C56)*MAX(0,1-('Китай 2026'!C50+'Китай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технологий'!$K$25:$K$240,'Эффекты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2026'!B51+'Китай 2026'!D51+('Китай 2026'!C51+'Китай 2026'!F51+'Китай 2026'!G51)+(0.35*LN(1+0.6*'Ход 2026'!B57)*POWER(MAX(0,1-'Китай 2026'!I51/10),0.7))))</f>
        <v>9.6</v>
      </c>
      <c r="C51" s="3">
        <f>MIN(1,(MIN(1,'Китай 2026'!C51+'Китай 2026'!F51+(0.08*LN(1+0.5*'Ход 2026'!C57)*MAX(0,1-('Китай 2026'!C51+'Китай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9.6</v>
      </c>
      <c r="J51" s="10">
        <f>SUMIFS('Эффекты технологий'!$K$25:$K$240,'Эффекты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2026'!B53+'Китай 2026'!D53+('Китай 2026'!C53+'Китай 2026'!F53+'Китай 2026'!G53)+(0.35*LN(1+0.6*'Ход 2026'!B59)*POWER(MAX(0,1-'Китай 2026'!I53/10),0.7))))</f>
        <v>9.65</v>
      </c>
      <c r="C53" s="3">
        <f>MIN(1,(MIN(1,'Китай 2026'!C53+'Китай 2026'!F53+(0.08*LN(1+0.5*'Ход 2026'!C59)*MAX(0,1-('Китай 2026'!C53+'Китай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9.65</v>
      </c>
      <c r="J53" s="10">
        <f>SUMIFS('Эффекты технологий'!$K$25:$K$240,'Эффекты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2026'!B54+'Китай 2026'!D54+('Китай 2026'!C54+'Китай 2026'!F54+'Китай 2026'!G54)+(0.35*LN(1+0.6*'Ход 2026'!B60)*POWER(MAX(0,1-'Китай 2026'!I54/10),0.7))))</f>
        <v>9.6</v>
      </c>
      <c r="C54" s="3">
        <f>MIN(1,(MIN(1,'Китай 2026'!C54+'Китай 2026'!F54+(0.08*LN(1+0.5*'Ход 2026'!C60)*MAX(0,1-('Китай 2026'!C54+'Китай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9.6</v>
      </c>
      <c r="J54" s="10">
        <f>SUMIFS('Эффекты технологий'!$K$25:$K$240,'Эффекты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2026'!B55+'Китай 2026'!D55+('Китай 2026'!C55+'Китай 2026'!F55+'Китай 2026'!G55)+(0.35*LN(1+0.6*'Ход 2026'!B61)*POWER(MAX(0,1-'Китай 2026'!I55/10),0.7))))</f>
        <v>9.15</v>
      </c>
      <c r="C55" s="3">
        <f>MIN(1,(MIN(1,'Китай 2026'!C55+'Китай 2026'!F55+(0.08*LN(1+0.5*'Ход 2026'!C61)*MAX(0,1-('Китай 2026'!C55+'Китай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9.15</v>
      </c>
      <c r="J55" s="10">
        <f>SUMIFS('Эффекты технологий'!$K$25:$K$240,'Эффекты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2027'!U6</f>
        <v>97.040045455170485</v>
      </c>
      <c r="C6" s="3"/>
      <c r="D6" s="3"/>
      <c r="E6" s="3" t="s">
        <v>321</v>
      </c>
      <c r="F6" s="3">
        <f>'Китай 2027'!K6</f>
        <v>95.366882847814296</v>
      </c>
      <c r="G6" s="3"/>
      <c r="H6" s="3"/>
      <c r="I6" s="3" t="s">
        <v>321</v>
      </c>
      <c r="J6" s="3">
        <f>'Китай 2027'!N6</f>
        <v>96.048286790579496</v>
      </c>
      <c r="K6" s="3"/>
      <c r="L6" s="3"/>
      <c r="M6" s="3" t="s">
        <v>321</v>
      </c>
      <c r="N6" s="3">
        <f>'Китай 2027'!Q6</f>
        <v>80.349709328607702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97.040045455170485</v>
      </c>
      <c r="C8" s="3" t="str">
        <f>IF(B8&lt;0,"ПРЕВЫШЕНИЕ","OK")</f>
        <v>OK</v>
      </c>
      <c r="D8" s="3"/>
      <c r="E8" s="3" t="s">
        <v>323</v>
      </c>
      <c r="F8" s="3">
        <f>F6-F7</f>
        <v>95.366882847814296</v>
      </c>
      <c r="G8" s="3" t="str">
        <f>IF(F8&lt;0,"ПРЕВЫШЕНИЕ","OK")</f>
        <v>OK</v>
      </c>
      <c r="H8" s="3"/>
      <c r="I8" s="3" t="s">
        <v>323</v>
      </c>
      <c r="J8" s="3">
        <f>J6-J7</f>
        <v>96.048286790579496</v>
      </c>
      <c r="K8" s="3" t="str">
        <f>IF(J8&lt;0,"ПРЕВЫШЕНИЕ","OK")</f>
        <v>OK</v>
      </c>
      <c r="L8" s="3"/>
      <c r="M8" s="3" t="s">
        <v>323</v>
      </c>
      <c r="N8" s="3">
        <f>N6-N7</f>
        <v>80.349709328607702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2027'!V11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2027'!V12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2027'!V13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2027'!V14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2027'!V15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2027'!V16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2027'!V17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2027'!V18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2027'!V19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2027'!V20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2027'!V21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2027'!V22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технологий'!K$16</f>
        <v>0</v>
      </c>
      <c r="H25" s="11">
        <f>'Эффекты технологий'!K$17</f>
        <v>0</v>
      </c>
      <c r="I25" s="11">
        <f>'Эффекты технологий'!K$18</f>
        <v>0</v>
      </c>
      <c r="J25" s="12"/>
      <c r="K25" s="3"/>
      <c r="L25" s="3" t="s">
        <v>558</v>
      </c>
      <c r="M25" s="3">
        <f>'Китай 2027'!V23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2027'!V24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2027'!V25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2027'!V26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IF(G30="","",VLOOKUP(G30,Технологии!$A$11:$BF$50,45,FALSE))</f>
        <v/>
      </c>
      <c r="L30" s="3"/>
      <c r="M30" s="3"/>
      <c r="N30" s="12" t="s">
        <v>340</v>
      </c>
      <c r="O30" s="11">
        <f>'Эффекты технологий'!K$13</f>
        <v>0</v>
      </c>
      <c r="P30" s="11">
        <f>'Эффекты технологий'!K$14</f>
        <v>0</v>
      </c>
      <c r="Q30" s="11">
        <f>'Эффекты технологий'!K$15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96.344026008623814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97.338566134896993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81.781266590982767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98.057165854172823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2027'!B8+'Китай 2027'!D8+('Китай 2027'!C8+'Китай 2027'!F8+'Китай 2027'!G8)+(0.35*LN(1+0.6*('Ход 2027'!B14*(1+'Эффекты технологий'!K$12)))*POWER(MAX(0,1-'Китай 2027'!I8/10),0.7))))</f>
        <v>9.6000000000000014</v>
      </c>
      <c r="C8" s="3">
        <f>MIN(1,(MIN(1,'Китай 2027'!C8+'Китай 2027'!F8+(0.08*LN(1+0.5*('Ход 2027'!C14*(1+'Эффекты технологий'!K$12)))*MAX(0,1-('Китай 2027'!C8+'Китай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9.6000000000000014</v>
      </c>
      <c r="J8" s="10">
        <f>SUMIFS('Эффекты технологий'!$L$25:$L$240,'Эффекты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2027'!B9+'Китай 2027'!D9+('Китай 2027'!C9+'Китай 2027'!F9+'Китай 2027'!G9)+(0.35*LN(1+0.6*('Ход 2027'!B15*(1+'Эффекты технологий'!K$12)))*POWER(MAX(0,1-'Китай 2027'!I9/10),0.7))))</f>
        <v>9.6999999999999993</v>
      </c>
      <c r="C9" s="3">
        <f>MIN(1,(MIN(1,'Китай 2027'!C9+'Китай 2027'!F9+(0.08*LN(1+0.5*('Ход 2027'!C15*(1+'Эффекты технологий'!K$12)))*MAX(0,1-('Китай 2027'!C9+'Китай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9.6999999999999993</v>
      </c>
      <c r="J9" s="10">
        <f>SUMIFS('Эффекты технологий'!$L$25:$L$240,'Эффекты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2027'!B10+'Китай 2027'!D10+('Китай 2027'!C10+'Китай 2027'!F10+'Китай 2027'!G10)+(0.35*LN(1+0.6*('Ход 2027'!B16*(1+'Эффекты технологий'!K$12)))*POWER(MAX(0,1-'Китай 2027'!I10/10),0.7))))</f>
        <v>9.5146726060305955</v>
      </c>
      <c r="C10" s="3">
        <f>MIN(1,(MIN(1,'Китай 2027'!C10+'Китай 2027'!F10+(0.08*LN(1+0.5*('Ход 2027'!C16*(1+'Эффекты технологий'!K$12)))*MAX(0,1-('Китай 2027'!C10+'Китай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9.5146726060305955</v>
      </c>
      <c r="J10" s="10">
        <f>SUMIFS('Эффекты технологий'!$L$25:$L$240,'Эффекты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2027'!B11+'Китай 2027'!D11+('Китай 2027'!C11+'Китай 2027'!F11+'Китай 2027'!G11)+(0.35*LN(1+0.6*('Ход 2027'!B17*(1+'Эффекты технологий'!K$12)))*POWER(MAX(0,1-'Китай 2027'!I11/10),0.7))))</f>
        <v>7.2484563980603252</v>
      </c>
      <c r="C11" s="3">
        <f>MIN(1,(MIN(1,'Китай 2027'!C11+'Китай 2027'!F11+(0.08*LN(1+0.5*('Ход 2027'!C17*(1+'Эффекты технологий'!K$12)))*MAX(0,1-('Китай 2027'!C11+'Китай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7.2484563980603252</v>
      </c>
      <c r="J11" s="10">
        <f>SUMIFS('Эффекты технологий'!$L$25:$L$240,'Эффекты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2027'!L11+'Китай 2027'!N11+('Китай 2027'!M11+'Китай 2027'!P11+'Китай 2027'!Q11)))</f>
        <v>10</v>
      </c>
      <c r="M11" s="3">
        <f>MIN(1,(MIN(1,'Китай 2027'!M11+'Китай 2027'!P11+(0.1*LN(1+0.5*('Ход 2027'!H13*(1+'Эффекты технологий'!K$10)))*POWER(MAX(0,1-'Китай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технологий'!$L$25:$L$240,'Эффекты технологий'!$C$25:$C$240,$K11,'Эффекты технологий'!$D$25:$D$240,"Значение")</f>
        <v>0</v>
      </c>
      <c r="U11" s="3" t="s">
        <v>534</v>
      </c>
      <c r="V11" s="7">
        <f>'Китай 2027'!V11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2027'!B12+'Китай 2027'!D12+('Китай 2027'!C12+'Китай 2027'!F12+'Китай 2027'!G12)+(0.35*LN(1+0.6*('Ход 2027'!B18*(1+'Эффекты технологий'!K$12)))*POWER(MAX(0,1-'Китай 2027'!I12/10),0.7))))</f>
        <v>9.1000000000000014</v>
      </c>
      <c r="C12" s="3">
        <f>MIN(1,(MIN(1,'Китай 2027'!C12+'Китай 2027'!F12+(0.08*LN(1+0.5*('Ход 2027'!C18*(1+'Эффекты технологий'!K$12)))*MAX(0,1-('Китай 2027'!C12+'Китай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9.1000000000000014</v>
      </c>
      <c r="J12" s="10">
        <f>SUMIFS('Эффекты технологий'!$L$25:$L$240,'Эффекты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2027'!L12+'Китай 2027'!N12+('Китай 2027'!M12+'Китай 2027'!P12+'Китай 2027'!Q12)))</f>
        <v>9.1000000000000014</v>
      </c>
      <c r="M12" s="3">
        <f>MIN(1,(MIN(1,'Китай 2027'!M12+'Китай 2027'!P12+(0.1*LN(1+0.5*('Ход 2027'!H14*(1+'Эффекты технологий'!K$10)))*POWER(MAX(0,1-'Китай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9.1000000000000014</v>
      </c>
      <c r="T12" s="10">
        <f>SUMIFS('Эффекты технологий'!$L$25:$L$240,'Эффекты технологий'!$C$25:$C$240,$K12,'Эффекты технологий'!$D$25:$D$240,"Значение")</f>
        <v>0</v>
      </c>
      <c r="U12" s="3" t="s">
        <v>536</v>
      </c>
      <c r="V12" s="7">
        <f>'Китай 2027'!V12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2027'!B13+'Китай 2027'!D13+('Китай 2027'!C13+'Китай 2027'!F13+'Китай 2027'!G13)+(0.35*LN(1+0.6*('Ход 2027'!B19*(1+'Эффекты технологий'!K$12)))*POWER(MAX(0,1-'Китай 2027'!I13/10),0.7))))</f>
        <v>9.3999999999999986</v>
      </c>
      <c r="C13" s="3">
        <f>MIN(1,(MIN(1,'Китай 2027'!C13+'Китай 2027'!F13+(0.08*LN(1+0.5*('Ход 2027'!C19*(1+'Эффекты технологий'!K$12)))*MAX(0,1-('Китай 2027'!C13+'Китай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9.3999999999999986</v>
      </c>
      <c r="J13" s="10">
        <f>SUMIFS('Эффекты технологий'!$L$25:$L$240,'Эффекты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2027'!L13+'Китай 2027'!N13+('Китай 2027'!M13+'Китай 2027'!P13+'Китай 2027'!Q13)))</f>
        <v>9.8000000000000007</v>
      </c>
      <c r="M13" s="3">
        <f>MIN(1,(MIN(1,'Китай 2027'!M13+'Китай 2027'!P13+(0.1*LN(1+0.5*('Ход 2027'!H15*(1+'Эффекты технологий'!K$10)))*POWER(MAX(0,1-'Китай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9.8000000000000007</v>
      </c>
      <c r="T13" s="10">
        <f>SUMIFS('Эффекты технологий'!$L$25:$L$240,'Эффекты технологий'!$C$25:$C$240,$K13,'Эффекты технологий'!$D$25:$D$240,"Значение")</f>
        <v>0</v>
      </c>
      <c r="U13" s="3" t="s">
        <v>538</v>
      </c>
      <c r="V13" s="7">
        <f>'Китай 2027'!V13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2027'!B14+'Китай 2027'!D14+('Китай 2027'!C14+'Китай 2027'!F14+'Китай 2027'!G14)+(0.35*LN(1+0.6*('Ход 2027'!B20*(1+'Эффекты технологий'!K$12)))*POWER(MAX(0,1-'Китай 2027'!I14/10),0.7))))</f>
        <v>8.5055073920031283</v>
      </c>
      <c r="C14" s="3">
        <f>MIN(1,(MIN(1,'Китай 2027'!C14+'Китай 2027'!F14+(0.08*LN(1+0.5*('Ход 2027'!C20*(1+'Эффекты технологий'!K$12)))*MAX(0,1-('Китай 2027'!C14+'Китай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8.7055073920031276</v>
      </c>
      <c r="J14" s="10">
        <f>SUMIFS('Эффекты технологий'!$L$25:$L$240,'Эффекты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2027'!L14+'Китай 2027'!N14+('Китай 2027'!M14+'Китай 2027'!P14+'Китай 2027'!Q14)))</f>
        <v>9.1607796870524254</v>
      </c>
      <c r="M14" s="3">
        <f>MIN(1,(MIN(1,'Китай 2027'!M14+'Китай 2027'!P14+(0.1*LN(1+0.5*('Ход 2027'!H16*(1+'Эффекты технологий'!K$10)))*POWER(MAX(0,1-'Китай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9.1607796870524254</v>
      </c>
      <c r="T14" s="10">
        <f>SUMIFS('Эффекты технологий'!$L$25:$L$240,'Эффекты технологий'!$C$25:$C$240,$K14,'Эффекты технологий'!$D$25:$D$240,"Значение")</f>
        <v>0</v>
      </c>
      <c r="U14" s="3" t="s">
        <v>540</v>
      </c>
      <c r="V14" s="7">
        <f>'Китай 2027'!V14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2027'!B15+'Китай 2027'!D15+('Китай 2027'!C15+'Китай 2027'!F15+'Китай 2027'!G15)+(0.35*LN(1+0.6*('Ход 2027'!B21*(1+'Эффекты технологий'!K$12)))*POWER(MAX(0,1-'Китай 2027'!I15/10),0.7))))</f>
        <v>9.1999999999999993</v>
      </c>
      <c r="C15" s="3">
        <f>MIN(1,(MIN(1,'Китай 2027'!C15+'Китай 2027'!F15+(0.08*LN(1+0.5*('Ход 2027'!C21*(1+'Эффекты технологий'!K$12)))*MAX(0,1-('Китай 2027'!C15+'Китай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9.1999999999999993</v>
      </c>
      <c r="J15" s="10">
        <f>SUMIFS('Эффекты технологий'!$L$25:$L$240,'Эффекты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2027'!L15+'Китай 2027'!N15+('Китай 2027'!M15+'Китай 2027'!P15+'Китай 2027'!Q15)))</f>
        <v>9.0240833811959149</v>
      </c>
      <c r="M15" s="3">
        <f>MIN(1,(MIN(1,'Китай 2027'!M15+'Китай 2027'!P15+(0.1*LN(1+0.5*('Ход 2027'!H17*(1+'Эффекты технологий'!K$10)))*POWER(MAX(0,1-'Китай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9.0240833811959149</v>
      </c>
      <c r="T15" s="10">
        <f>SUMIFS('Эффекты технологий'!$L$25:$L$240,'Эффекты технологий'!$C$25:$C$240,$K15,'Эффекты технологий'!$D$25:$D$240,"Значение")</f>
        <v>0</v>
      </c>
      <c r="U15" s="3" t="s">
        <v>542</v>
      </c>
      <c r="V15" s="7">
        <f>'Китай 2027'!V15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2027'!B16+'Китай 2027'!D16+('Китай 2027'!C16+'Китай 2027'!F16+'Китай 2027'!G16)+(0.35*LN(1+0.6*('Ход 2027'!B22*(1+'Эффекты технологий'!K$12)))*POWER(MAX(0,1-'Китай 2027'!I16/10),0.7))))</f>
        <v>10</v>
      </c>
      <c r="C16" s="3">
        <f>MIN(1,(MIN(1,'Китай 2027'!C16+'Китай 2027'!F16+(0.08*LN(1+0.5*('Ход 2027'!C22*(1+'Эффекты технологий'!K$12)))*MAX(0,1-('Китай 2027'!C16+'Китай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технологий'!$L$25:$L$240,'Эффекты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2027'!L16+'Китай 2027'!N16+('Китай 2027'!M16+'Китай 2027'!P16+'Китай 2027'!Q16)))</f>
        <v>9.7439425699137221</v>
      </c>
      <c r="M16" s="3">
        <f>MIN(1,(MIN(1,'Китай 2027'!M16+'Китай 2027'!P16+(0.1*LN(1+0.5*('Ход 2027'!H18*(1+'Эффекты технологий'!K$10)))*POWER(MAX(0,1-'Китай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9.7439425699137221</v>
      </c>
      <c r="T16" s="10">
        <f>SUMIFS('Эффекты технологий'!$L$25:$L$240,'Эффекты технологий'!$C$25:$C$240,$K16,'Эффекты технологий'!$D$25:$D$240,"Значение")</f>
        <v>0</v>
      </c>
      <c r="U16" s="3" t="s">
        <v>544</v>
      </c>
      <c r="V16" s="7">
        <f>'Китай 2027'!V16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2027'!B17+'Китай 2027'!D17+('Китай 2027'!C17+'Китай 2027'!F17+'Китай 2027'!G17)+(0.35*LN(1+0.6*('Ход 2027'!B23*(1+'Эффекты технологий'!K$12)))*POWER(MAX(0,1-'Китай 2027'!I17/10),0.7))))</f>
        <v>10</v>
      </c>
      <c r="C17" s="3">
        <f>MIN(1,(MIN(1,'Китай 2027'!C17+'Китай 2027'!F17+(0.08*LN(1+0.5*('Ход 2027'!C23*(1+'Эффекты технологий'!K$12)))*MAX(0,1-('Китай 2027'!C17+'Китай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технологий'!$L$25:$L$240,'Эффекты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2027'!L17+'Китай 2027'!N17+('Китай 2027'!M17+'Китай 2027'!P17+'Китай 2027'!Q17)))</f>
        <v>9.1999999999999993</v>
      </c>
      <c r="M17" s="3">
        <f>MIN(1,(MIN(1,'Китай 2027'!M17+'Китай 2027'!P17+(0.1*LN(1+0.5*('Ход 2027'!H19*(1+'Эффекты технологий'!K$10)))*POWER(MAX(0,1-'Китай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9.1999999999999993</v>
      </c>
      <c r="T17" s="10">
        <f>SUMIFS('Эффекты технологий'!$L$25:$L$240,'Эффекты технологий'!$C$25:$C$240,$K17,'Эффекты технологий'!$D$25:$D$240,"Значение")</f>
        <v>0</v>
      </c>
      <c r="U17" s="3" t="s">
        <v>546</v>
      </c>
      <c r="V17" s="7">
        <f>'Китай 2027'!V17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2027'!L18+'Китай 2027'!N18+('Китай 2027'!M18+'Китай 2027'!P18+'Китай 2027'!Q18)))</f>
        <v>9.1607796870524254</v>
      </c>
      <c r="M18" s="3">
        <f>MIN(1,(MIN(1,'Китай 2027'!M18+'Китай 2027'!P18+(0.1*LN(1+0.5*('Ход 2027'!H20*(1+'Эффекты технологий'!K$10)))*POWER(MAX(0,1-'Китай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9.1607796870524254</v>
      </c>
      <c r="T18" s="10">
        <f>SUMIFS('Эффекты технологий'!$L$25:$L$240,'Эффекты технологий'!$C$25:$C$240,$K18,'Эффекты технологий'!$D$25:$D$240,"Значение")</f>
        <v>0</v>
      </c>
      <c r="U18" s="3" t="s">
        <v>548</v>
      </c>
      <c r="V18" s="7">
        <f>'Китай 2027'!V18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2027'!B19+'Китай 2027'!D19+('Китай 2027'!C19+'Китай 2027'!F19+'Китай 2027'!G19)+(0.35*LN(1+0.6*'Ход 2027'!B25)*POWER(MAX(0,1-'Китай 2027'!I19/10),0.7))))</f>
        <v>8.5533200137544654</v>
      </c>
      <c r="C19" s="3">
        <f>MIN(1,(MIN(1,'Китай 2027'!C19+'Китай 2027'!F19+(0.08*LN(1+0.5*'Ход 2027'!C25)*MAX(0,1-('Китай 2027'!C19+'Китай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8.5533200137544654</v>
      </c>
      <c r="J19" s="10">
        <f>SUMIFS('Эффекты технологий'!$L$25:$L$240,'Эффекты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2027'!V19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2027'!B20+'Китай 2027'!D20+('Китай 2027'!C20+'Китай 2027'!F20+'Китай 2027'!G20)+(0.35*LN(1+0.6*'Ход 2027'!B26)*POWER(MAX(0,1-'Китай 2027'!I20/10),0.7))))</f>
        <v>9.1804906499574752</v>
      </c>
      <c r="C20" s="3">
        <f>MIN(1,(MIN(1,'Китай 2027'!C20+'Китай 2027'!F20+(0.08*LN(1+0.5*'Ход 2027'!C26)*MAX(0,1-('Китай 2027'!C20+'Китай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9.1804906499574752</v>
      </c>
      <c r="J20" s="10">
        <f>SUMIFS('Эффекты технологий'!$L$25:$L$240,'Эффекты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2027'!V20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2027'!B21+'Китай 2027'!D21+('Китай 2027'!C21+'Китай 2027'!F21+'Китай 2027'!G21)+(0.35*LN(1+0.6*'Ход 2027'!B27)*POWER(MAX(0,1-'Китай 2027'!I21/10),0.7))))</f>
        <v>9.3999999999999986</v>
      </c>
      <c r="C21" s="3">
        <f>MIN(1,(MIN(1,'Китай 2027'!C21+'Китай 2027'!F21+(0.08*LN(1+0.5*'Ход 2027'!C27)*MAX(0,1-('Китай 2027'!C21+'Китай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9.3999999999999986</v>
      </c>
      <c r="J21" s="10">
        <f>SUMIFS('Эффекты технологий'!$L$25:$L$240,'Эффекты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2027'!V21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2027'!B22+'Китай 2027'!D22+('Китай 2027'!C22+'Китай 2027'!F22+'Китай 2027'!G22)+(0.35*LN(1+0.6*'Ход 2027'!B28)*POWER(MAX(0,1-'Китай 2027'!I22/10),0.7))))</f>
        <v>10</v>
      </c>
      <c r="C22" s="3">
        <f>MIN(1,(MIN(1,'Китай 2027'!C22+'Китай 2027'!F22+(0.08*LN(1+0.5*'Ход 2027'!C28)*MAX(0,1-('Китай 2027'!C22+'Китай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технологий'!$L$25:$L$240,'Эффекты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2027'!V22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2027'!B23+'Китай 2027'!D23+('Китай 2027'!C23+'Китай 2027'!F23+'Китай 2027'!G23)+(0.35*LN(1+0.6*'Ход 2027'!B29)*POWER(MAX(0,1-'Китай 2027'!I23/10),0.7))))</f>
        <v>9.8000000000000007</v>
      </c>
      <c r="C23" s="3">
        <f>MIN(1,(MIN(1,'Китай 2027'!C23+'Китай 2027'!F23+(0.08*LN(1+0.5*'Ход 2027'!C29)*MAX(0,1-('Китай 2027'!C23+'Китай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9.8000000000000007</v>
      </c>
      <c r="J23" s="10">
        <f>SUMIFS('Эффекты технологий'!$L$25:$L$240,'Эффекты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2027'!V23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2027'!V24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2027'!B25+'Китай 2027'!D25+('Китай 2027'!C25+'Китай 2027'!F25+'Китай 2027'!G25)+(0.35*LN(1+0.6*'Ход 2027'!B31)*POWER(MAX(0,1-'Китай 2027'!I25/10),0.7))))</f>
        <v>10</v>
      </c>
      <c r="C25" s="3">
        <f>MIN(1,(MIN(1,'Китай 2027'!C25+'Китай 2027'!F25+(0.08*LN(1+0.5*'Ход 2027'!C31)*MAX(0,1-('Китай 2027'!C25+'Китай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технологий'!$L$25:$L$240,'Эффекты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2027'!V25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2027'!B26+'Китай 2027'!D26+('Китай 2027'!C26+'Китай 2027'!F26+'Китай 2027'!G26)+(0.35*LN(1+0.6*'Ход 2027'!B32)*POWER(MAX(0,1-'Китай 2027'!I26/10),0.7))))</f>
        <v>9.8000000000000007</v>
      </c>
      <c r="C26" s="3">
        <f>MIN(1,(MIN(1,'Китай 2027'!C26+'Китай 2027'!F26+(0.08*LN(1+0.5*'Ход 2027'!C32)*MAX(0,1-('Китай 2027'!C26+'Китай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9.8000000000000007</v>
      </c>
      <c r="J26" s="10">
        <f>SUMIFS('Эффекты технологий'!$L$25:$L$240,'Эффекты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2027'!V26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2027'!B27+'Китай 2027'!D27+('Китай 2027'!C27+'Китай 2027'!F27+'Китай 2027'!G27)+(0.35*LN(1+0.6*'Ход 2027'!B33)*POWER(MAX(0,1-'Китай 2027'!I27/10),0.7))))</f>
        <v>9.6999999999999993</v>
      </c>
      <c r="C27" s="3">
        <f>MIN(1,(MIN(1,'Китай 2027'!C27+'Китай 2027'!F27+(0.08*LN(1+0.5*'Ход 2027'!C33)*MAX(0,1-('Китай 2027'!C27+'Китай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9.6999999999999993</v>
      </c>
      <c r="J27" s="10">
        <f>SUMIFS('Эффекты технологий'!$L$25:$L$240,'Эффекты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2027'!B28+'Китай 2027'!D28+('Китай 2027'!C28+'Китай 2027'!F28+'Китай 2027'!G28)+(0.35*LN(1+0.6*'Ход 2027'!B34)*POWER(MAX(0,1-'Китай 2027'!I28/10),0.7))))</f>
        <v>9.8000000000000007</v>
      </c>
      <c r="C28" s="3">
        <f>MIN(1,(MIN(1,'Китай 2027'!C28+'Китай 2027'!F28+(0.08*LN(1+0.5*'Ход 2027'!C34)*MAX(0,1-('Китай 2027'!C28+'Китай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9.8000000000000007</v>
      </c>
      <c r="J28" s="10">
        <f>SUMIFS('Эффекты технологий'!$L$25:$L$240,'Эффекты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2027'!B29+'Китай 2027'!D29+('Китай 2027'!C29+'Китай 2027'!F29+'Китай 2027'!G29)+(0.35*LN(1+0.6*'Ход 2027'!B35)*POWER(MAX(0,1-'Китай 2027'!I29/10),0.7))))</f>
        <v>9</v>
      </c>
      <c r="C29" s="3">
        <f>MIN(1,(MIN(1,'Китай 2027'!C29+'Китай 2027'!F29+(0.08*LN(1+0.5*'Ход 2027'!C35)*MAX(0,1-('Китай 2027'!C29+'Китай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</v>
      </c>
      <c r="J29" s="10">
        <f>SUMIFS('Эффекты технологий'!$L$25:$L$240,'Эффекты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2027'!B30+'Китай 2027'!D30+('Китай 2027'!C30+'Китай 2027'!F30+'Китай 2027'!G30)+(0.35*LN(1+0.6*'Ход 2027'!B36)*POWER(MAX(0,1-'Китай 2027'!I30/10),0.7))))</f>
        <v>7.9</v>
      </c>
      <c r="C30" s="3">
        <f>MIN(1,(MIN(1,'Китай 2027'!C30+'Китай 2027'!F30+(0.08*LN(1+0.5*'Ход 2027'!C36)*MAX(0,1-('Китай 2027'!C30+'Китай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7.9</v>
      </c>
      <c r="J30" s="10">
        <f>SUMIFS('Эффекты технологий'!$L$25:$L$240,'Эффекты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2027'!B31+'Китай 2027'!D31+('Китай 2027'!C31+'Китай 2027'!F31+'Китай 2027'!G31)+(0.35*LN(1+0.6*'Ход 2027'!B37)*POWER(MAX(0,1-'Китай 2027'!I31/10),0.7))))</f>
        <v>7.3726484596414821</v>
      </c>
      <c r="C31" s="3">
        <f>MIN(1,(MIN(1,'Китай 2027'!C31+'Китай 2027'!F31+(0.08*LN(1+0.5*'Ход 2027'!C37)*MAX(0,1-('Китай 2027'!C31+'Китай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7.3726484596414821</v>
      </c>
      <c r="J31" s="10">
        <f>SUMIFS('Эффекты технологий'!$L$25:$L$240,'Эффекты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2027'!B32+'Китай 2027'!D32+('Китай 2027'!C32+'Китай 2027'!F32+'Китай 2027'!G32)+(0.35*LN(1+0.6*'Ход 2027'!B38)*POWER(MAX(0,1-'Китай 2027'!I32/10),0.7))))</f>
        <v>9.3000000000000007</v>
      </c>
      <c r="C32" s="3">
        <f>MIN(1,(MIN(1,'Китай 2027'!C32+'Китай 2027'!F32+(0.08*LN(1+0.5*'Ход 2027'!C38)*MAX(0,1-('Китай 2027'!C32+'Китай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9.3000000000000007</v>
      </c>
      <c r="J32" s="10">
        <f>SUMIFS('Эффекты технологий'!$L$25:$L$240,'Эффекты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2027'!B34+'Китай 2027'!D34+('Китай 2027'!C34+'Китай 2027'!F34+'Китай 2027'!G34)+(0.35*LN(1+0.6*'Ход 2027'!B40)*POWER(MAX(0,1-'Китай 2027'!I34/10),0.7))))</f>
        <v>9.8000000000000007</v>
      </c>
      <c r="C34" s="3">
        <f>MIN(1,(MIN(1,'Китай 2027'!C34+'Китай 2027'!F34+(0.08*LN(1+0.5*'Ход 2027'!C40)*MAX(0,1-('Китай 2027'!C34+'Китай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9.8000000000000007</v>
      </c>
      <c r="J34" s="10">
        <f>SUMIFS('Эффекты технологий'!$L$25:$L$240,'Эффекты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2027'!B35+'Китай 2027'!D35+('Китай 2027'!C35+'Китай 2027'!F35+'Китай 2027'!G35)+(0.35*LN(1+0.6*'Ход 2027'!B41)*POWER(MAX(0,1-'Китай 2027'!I35/10),0.7))))</f>
        <v>10</v>
      </c>
      <c r="C35" s="3">
        <f>MIN(1,(MIN(1,'Китай 2027'!C35+'Китай 2027'!F35+(0.08*LN(1+0.5*'Ход 2027'!C41)*MAX(0,1-('Китай 2027'!C35+'Китай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технологий'!$L$25:$L$240,'Эффекты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2027'!B36+'Китай 2027'!D36+('Китай 2027'!C36+'Китай 2027'!F36+'Китай 2027'!G36)+(0.35*LN(1+0.6*'Ход 2027'!B42)*POWER(MAX(0,1-'Китай 2027'!I36/10),0.7))))</f>
        <v>9.8000000000000007</v>
      </c>
      <c r="C36" s="3">
        <f>MIN(1,(MIN(1,'Китай 2027'!C36+'Китай 2027'!F36+(0.08*LN(1+0.5*'Ход 2027'!C42)*MAX(0,1-('Китай 2027'!C36+'Китай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9.8000000000000007</v>
      </c>
      <c r="J36" s="10">
        <f>SUMIFS('Эффекты технологий'!$L$25:$L$240,'Эффекты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2027'!B37+'Китай 2027'!D37+('Китай 2027'!C37+'Китай 2027'!F37+'Китай 2027'!G37)+(0.35*LN(1+0.6*'Ход 2027'!B43)*POWER(MAX(0,1-'Китай 2027'!I37/10),0.7))))</f>
        <v>9.8000000000000007</v>
      </c>
      <c r="C37" s="3">
        <f>MIN(1,(MIN(1,'Китай 2027'!C37+'Китай 2027'!F37+(0.08*LN(1+0.5*'Ход 2027'!C43)*MAX(0,1-('Китай 2027'!C37+'Китай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9.8000000000000007</v>
      </c>
      <c r="J37" s="10">
        <f>SUMIFS('Эффекты технологий'!$L$25:$L$240,'Эффекты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2027'!B38+'Китай 2027'!D38+('Китай 2027'!C38+'Китай 2027'!F38+'Китай 2027'!G38)+(0.35*LN(1+0.6*'Ход 2027'!B44)*POWER(MAX(0,1-'Китай 2027'!I38/10),0.7))))</f>
        <v>9.6999999999999993</v>
      </c>
      <c r="C38" s="3">
        <f>MIN(1,(MIN(1,'Китай 2027'!C38+'Китай 2027'!F38+(0.08*LN(1+0.5*'Ход 2027'!C44)*MAX(0,1-('Китай 2027'!C38+'Китай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9.6999999999999993</v>
      </c>
      <c r="J38" s="10">
        <f>SUMIFS('Эффекты технологий'!$L$25:$L$240,'Эффекты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2027'!B39+'Китай 2027'!D39+('Китай 2027'!C39+'Китай 2027'!F39+'Китай 2027'!G39)+(0.35*LN(1+0.6*'Ход 2027'!B45)*POWER(MAX(0,1-'Китай 2027'!I39/10),0.7))))</f>
        <v>9.3000000000000007</v>
      </c>
      <c r="C39" s="3">
        <f>MIN(1,(MIN(1,'Китай 2027'!C39+'Китай 2027'!F39+(0.08*LN(1+0.5*'Ход 2027'!C45)*MAX(0,1-('Китай 2027'!C39+'Китай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9.3000000000000007</v>
      </c>
      <c r="J39" s="10">
        <f>SUMIFS('Эффекты технологий'!$L$25:$L$240,'Эффекты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2027'!B40+'Китай 2027'!D40+('Китай 2027'!C40+'Китай 2027'!F40+'Китай 2027'!G40)+(0.35*LN(1+0.6*'Ход 2027'!B46)*POWER(MAX(0,1-'Китай 2027'!I40/10),0.7))))</f>
        <v>9.1999999999999993</v>
      </c>
      <c r="C40" s="3">
        <f>MIN(1,(MIN(1,'Китай 2027'!C40+'Китай 2027'!F40+(0.08*LN(1+0.5*'Ход 2027'!C46)*MAX(0,1-('Китай 2027'!C40+'Китай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9.1999999999999993</v>
      </c>
      <c r="J40" s="10">
        <f>SUMIFS('Эффекты технологий'!$L$25:$L$240,'Эффекты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2027'!B41+'Китай 2027'!D41+('Китай 2027'!C41+'Китай 2027'!F41+'Китай 2027'!G41)+(0.35*LN(1+0.6*'Ход 2027'!B47)*POWER(MAX(0,1-'Китай 2027'!I41/10),0.7))))</f>
        <v>9.6999999999999993</v>
      </c>
      <c r="C41" s="3">
        <f>MIN(1,(MIN(1,'Китай 2027'!C41+'Китай 2027'!F41+(0.08*LN(1+0.5*'Ход 2027'!C47)*MAX(0,1-('Китай 2027'!C41+'Китай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9.6999999999999993</v>
      </c>
      <c r="J41" s="10">
        <f>SUMIFS('Эффекты технологий'!$L$25:$L$240,'Эффекты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2027'!B42+'Китай 2027'!D42+('Китай 2027'!C42+'Китай 2027'!F42+'Китай 2027'!G42)+(0.35*LN(1+0.6*'Ход 2027'!B48)*POWER(MAX(0,1-'Китай 2027'!I42/10),0.7))))</f>
        <v>10</v>
      </c>
      <c r="C42" s="3">
        <f>MIN(1,(MIN(1,'Китай 2027'!C42+'Китай 2027'!F42+(0.08*LN(1+0.5*'Ход 2027'!C48)*MAX(0,1-('Китай 2027'!C42+'Китай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технологий'!$L$25:$L$240,'Эффекты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2027'!B44+'Китай 2027'!D44+('Китай 2027'!C44+'Китай 2027'!F44+'Китай 2027'!G44)+(0.35*LN(1+0.6*'Ход 2027'!B50)*POWER(MAX(0,1-'Китай 2027'!I44/10),0.7))))</f>
        <v>7.9801768299837041</v>
      </c>
      <c r="C44" s="3">
        <f>MIN(1,(MIN(1,'Китай 2027'!C44+'Китай 2027'!F44+(0.08*LN(1+0.5*'Ход 2027'!C50)*MAX(0,1-('Китай 2027'!C44+'Китай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7.9801768299837041</v>
      </c>
      <c r="J44" s="10">
        <f>SUMIFS('Эффекты технологий'!$L$25:$L$240,'Эффекты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2027'!B45+'Китай 2027'!D45+('Китай 2027'!C45+'Китай 2027'!F45+'Китай 2027'!G45)+(0.35*LN(1+0.6*'Ход 2027'!B51)*POWER(MAX(0,1-'Китай 2027'!I45/10),0.7))))</f>
        <v>9.6999999999999993</v>
      </c>
      <c r="C45" s="3">
        <f>MIN(1,(MIN(1,'Китай 2027'!C45+'Китай 2027'!F45+(0.08*LN(1+0.5*'Ход 2027'!C51)*MAX(0,1-('Китай 2027'!C45+'Китай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9.6999999999999993</v>
      </c>
      <c r="J45" s="10">
        <f>SUMIFS('Эффекты технологий'!$L$25:$L$240,'Эффекты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2027'!B46+'Китай 2027'!D46+('Китай 2027'!C46+'Китай 2027'!F46+'Китай 2027'!G46)+(0.35*LN(1+0.6*'Ход 2027'!B52)*POWER(MAX(0,1-'Китай 2027'!I46/10),0.7))))</f>
        <v>9.6999999999999993</v>
      </c>
      <c r="C46" s="3">
        <f>MIN(1,(MIN(1,'Китай 2027'!C46+'Китай 2027'!F46+(0.08*LN(1+0.5*'Ход 2027'!C52)*MAX(0,1-('Китай 2027'!C46+'Китай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9.6999999999999993</v>
      </c>
      <c r="J46" s="10">
        <f>SUMIFS('Эффекты технологий'!$L$25:$L$240,'Эффекты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2027'!B47+'Китай 2027'!D47+('Китай 2027'!C47+'Китай 2027'!F47+'Китай 2027'!G47)+(0.35*LN(1+0.6*'Ход 2027'!B53)*POWER(MAX(0,1-'Китай 2027'!I47/10),0.7))))</f>
        <v>5.957674833292069</v>
      </c>
      <c r="C47" s="3">
        <f>MIN(1,(MIN(1,'Китай 2027'!C47+'Китай 2027'!F47+(0.08*LN(1+0.5*'Ход 2027'!C53)*MAX(0,1-('Китай 2027'!C47+'Китай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5.957674833292069</v>
      </c>
      <c r="J47" s="10">
        <f>SUMIFS('Эффекты технологий'!$L$25:$L$240,'Эффекты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2027'!B48+'Китай 2027'!D48+('Китай 2027'!C48+'Китай 2027'!F48+'Китай 2027'!G48)+(0.35*LN(1+0.6*'Ход 2027'!B54)*POWER(MAX(0,1-'Китай 2027'!I48/10),0.7))))</f>
        <v>8.6000000000000014</v>
      </c>
      <c r="C48" s="3">
        <f>MIN(1,(MIN(1,'Китай 2027'!C48+'Китай 2027'!F48+(0.08*LN(1+0.5*'Ход 2027'!C54)*MAX(0,1-('Китай 2027'!C48+'Китай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8.6000000000000014</v>
      </c>
      <c r="J48" s="10">
        <f>SUMIFS('Эффекты технологий'!$L$25:$L$240,'Эффекты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2027'!B49+'Китай 2027'!D49+('Китай 2027'!C49+'Китай 2027'!F49+'Китай 2027'!G49)+(0.35*LN(1+0.6*'Ход 2027'!B55)*POWER(MAX(0,1-'Китай 2027'!I49/10),0.7))))</f>
        <v>9.5</v>
      </c>
      <c r="C49" s="3">
        <f>MIN(1,(MIN(1,'Китай 2027'!C49+'Китай 2027'!F49+(0.08*LN(1+0.5*'Ход 2027'!C55)*MAX(0,1-('Китай 2027'!C49+'Китай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9.5</v>
      </c>
      <c r="J49" s="10">
        <f>SUMIFS('Эффекты технологий'!$L$25:$L$240,'Эффекты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2027'!B50+'Китай 2027'!D50+('Китай 2027'!C50+'Китай 2027'!F50+'Китай 2027'!G50)+(0.35*LN(1+0.6*'Ход 2027'!B56)*POWER(MAX(0,1-'Китай 2027'!I50/10),0.7))))</f>
        <v>10</v>
      </c>
      <c r="C50" s="3">
        <f>MIN(1,(MIN(1,'Китай 2027'!C50+'Китай 2027'!F50+(0.08*LN(1+0.5*'Ход 2027'!C56)*MAX(0,1-('Китай 2027'!C50+'Китай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технологий'!$L$25:$L$240,'Эффекты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2027'!B51+'Китай 2027'!D51+('Китай 2027'!C51+'Китай 2027'!F51+'Китай 2027'!G51)+(0.35*LN(1+0.6*'Ход 2027'!B57)*POWER(MAX(0,1-'Китай 2027'!I51/10),0.7))))</f>
        <v>9.6999999999999993</v>
      </c>
      <c r="C51" s="3">
        <f>MIN(1,(MIN(1,'Китай 2027'!C51+'Китай 2027'!F51+(0.08*LN(1+0.5*'Ход 2027'!C57)*MAX(0,1-('Китай 2027'!C51+'Китай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9.6999999999999993</v>
      </c>
      <c r="J51" s="10">
        <f>SUMIFS('Эффекты технологий'!$L$25:$L$240,'Эффекты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2027'!B53+'Китай 2027'!D53+('Китай 2027'!C53+'Китай 2027'!F53+'Китай 2027'!G53)+(0.35*LN(1+0.6*'Ход 2027'!B59)*POWER(MAX(0,1-'Китай 2027'!I53/10),0.7))))</f>
        <v>9.8000000000000007</v>
      </c>
      <c r="C53" s="3">
        <f>MIN(1,(MIN(1,'Китай 2027'!C53+'Китай 2027'!F53+(0.08*LN(1+0.5*'Ход 2027'!C59)*MAX(0,1-('Китай 2027'!C53+'Китай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9.8000000000000007</v>
      </c>
      <c r="J53" s="10">
        <f>SUMIFS('Эффекты технологий'!$L$25:$L$240,'Эффекты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2027'!B54+'Китай 2027'!D54+('Китай 2027'!C54+'Китай 2027'!F54+'Китай 2027'!G54)+(0.35*LN(1+0.6*'Ход 2027'!B60)*POWER(MAX(0,1-'Китай 2027'!I54/10),0.7))))</f>
        <v>9.6999999999999993</v>
      </c>
      <c r="C54" s="3">
        <f>MIN(1,(MIN(1,'Китай 2027'!C54+'Китай 2027'!F54+(0.08*LN(1+0.5*'Ход 2027'!C60)*MAX(0,1-('Китай 2027'!C54+'Китай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9.6999999999999993</v>
      </c>
      <c r="J54" s="10">
        <f>SUMIFS('Эффекты технологий'!$L$25:$L$240,'Эффекты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2027'!B55+'Китай 2027'!D55+('Китай 2027'!C55+'Китай 2027'!F55+'Китай 2027'!G55)+(0.35*LN(1+0.6*'Ход 2027'!B61)*POWER(MAX(0,1-'Китай 2027'!I55/10),0.7))))</f>
        <v>9.3000000000000007</v>
      </c>
      <c r="C55" s="3">
        <f>MIN(1,(MIN(1,'Китай 2027'!C55+'Китай 2027'!F55+(0.08*LN(1+0.5*'Ход 2027'!C61)*MAX(0,1-('Китай 2027'!C55+'Китай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9.3000000000000007</v>
      </c>
      <c r="J55" s="10">
        <f>SUMIFS('Эффекты технологий'!$L$25:$L$240,'Эффекты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350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2028'!U6</f>
        <v>98.057165854172823</v>
      </c>
      <c r="C6" s="3"/>
      <c r="D6" s="3"/>
      <c r="E6" s="3" t="s">
        <v>321</v>
      </c>
      <c r="F6" s="3">
        <f>'Китай 2028'!K6</f>
        <v>96.344026008623814</v>
      </c>
      <c r="G6" s="3"/>
      <c r="H6" s="3"/>
      <c r="I6" s="3" t="s">
        <v>321</v>
      </c>
      <c r="J6" s="3">
        <f>'Китай 2028'!N6</f>
        <v>97.338566134896993</v>
      </c>
      <c r="K6" s="3"/>
      <c r="L6" s="3"/>
      <c r="M6" s="3" t="s">
        <v>321</v>
      </c>
      <c r="N6" s="3">
        <f>'Китай 2028'!Q6</f>
        <v>81.781266590982767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98.057165854172823</v>
      </c>
      <c r="C8" s="3" t="str">
        <f>IF(B8&lt;0,"ПРЕВЫШЕНИЕ","OK")</f>
        <v>OK</v>
      </c>
      <c r="D8" s="3"/>
      <c r="E8" s="3" t="s">
        <v>323</v>
      </c>
      <c r="F8" s="3">
        <f>F6-F7</f>
        <v>96.344026008623814</v>
      </c>
      <c r="G8" s="3" t="str">
        <f>IF(F8&lt;0,"ПРЕВЫШЕНИЕ","OK")</f>
        <v>OK</v>
      </c>
      <c r="H8" s="3"/>
      <c r="I8" s="3" t="s">
        <v>323</v>
      </c>
      <c r="J8" s="3">
        <f>J6-J7</f>
        <v>97.338566134896993</v>
      </c>
      <c r="K8" s="3" t="str">
        <f>IF(J8&lt;0,"ПРЕВЫШЕНИЕ","OK")</f>
        <v>OK</v>
      </c>
      <c r="L8" s="3"/>
      <c r="M8" s="3" t="s">
        <v>323</v>
      </c>
      <c r="N8" s="3">
        <f>N6-N7</f>
        <v>81.781266590982767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2028'!V11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2028'!V12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2028'!V13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2028'!V14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2028'!V15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2028'!V16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2028'!V17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2028'!V18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2028'!V19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2028'!V20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2028'!V21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2028'!V22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технологий'!L$16</f>
        <v>0</v>
      </c>
      <c r="H25" s="11">
        <f>'Эффекты технологий'!L$17</f>
        <v>0</v>
      </c>
      <c r="I25" s="11">
        <f>'Эффекты технологий'!L$18</f>
        <v>0</v>
      </c>
      <c r="J25" s="12"/>
      <c r="K25" s="3"/>
      <c r="L25" s="3" t="s">
        <v>558</v>
      </c>
      <c r="M25" s="3">
        <f>'Китай 2028'!V23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2028'!V24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2028'!V25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2028'!V26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IF(G30="","",VLOOKUP(G30,Технологии!$A$11:$BF$50,46,FALSE))</f>
        <v/>
      </c>
      <c r="L30" s="3"/>
      <c r="M30" s="3"/>
      <c r="N30" s="12" t="s">
        <v>340</v>
      </c>
      <c r="O30" s="11">
        <f>'Эффекты технологий'!L$13</f>
        <v>0</v>
      </c>
      <c r="P30" s="11">
        <f>'Эффекты технологий'!L$14</f>
        <v>0</v>
      </c>
      <c r="Q30" s="11">
        <f>'Эффекты технологий'!L$15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97.249605473461159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98.530879399425714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83.054721995134003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98.89536706127484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2028'!B8+'Китай 2028'!D8+('Китай 2028'!C8+'Китай 2028'!F8+'Китай 2028'!G8)+(0.35*LN(1+0.6*('Ход 2028'!B14*(1+'Эффекты технологий'!L$12)))*POWER(MAX(0,1-'Китай 2028'!I8/10),0.7))))</f>
        <v>9.6500000000000021</v>
      </c>
      <c r="C8" s="3">
        <f>MIN(1,(MIN(1,'Китай 2028'!C8+'Китай 2028'!F8+(0.08*LN(1+0.5*('Ход 2028'!C14*(1+'Эффекты технологий'!L$12)))*MAX(0,1-('Китай 2028'!C8+'Китай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9.6500000000000021</v>
      </c>
      <c r="J8" s="10">
        <f>SUMIFS('Эффекты технологий'!$M$25:$M$240,'Эффекты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2028'!B9+'Китай 2028'!D9+('Китай 2028'!C9+'Китай 2028'!F9+'Китай 2028'!G9)+(0.35*LN(1+0.6*('Ход 2028'!B15*(1+'Эффекты технологий'!L$12)))*POWER(MAX(0,1-'Китай 2028'!I9/10),0.7))))</f>
        <v>9.7999999999999989</v>
      </c>
      <c r="C9" s="3">
        <f>MIN(1,(MIN(1,'Китай 2028'!C9+'Китай 2028'!F9+(0.08*LN(1+0.5*('Ход 2028'!C15*(1+'Эффекты технологий'!L$12)))*MAX(0,1-('Китай 2028'!C9+'Китай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9.7999999999999989</v>
      </c>
      <c r="J9" s="10">
        <f>SUMIFS('Эффекты технологий'!$M$25:$M$240,'Эффекты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2028'!B10+'Китай 2028'!D10+('Китай 2028'!C10+'Китай 2028'!F10+'Китай 2028'!G10)+(0.35*LN(1+0.6*('Ход 2028'!B16*(1+'Эффекты технологий'!L$12)))*POWER(MAX(0,1-'Китай 2028'!I10/10),0.7))))</f>
        <v>9.8293452120611917</v>
      </c>
      <c r="C10" s="3">
        <f>MIN(1,(MIN(1,'Китай 2028'!C10+'Китай 2028'!F10+(0.08*LN(1+0.5*('Ход 2028'!C16*(1+'Эффекты технологий'!L$12)))*MAX(0,1-('Китай 2028'!C10+'Китай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9.8293452120611917</v>
      </c>
      <c r="J10" s="10">
        <f>SUMIFS('Эффекты технологий'!$M$25:$M$240,'Эффекты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2028'!B11+'Китай 2028'!D11+('Китай 2028'!C11+'Китай 2028'!F11+'Китай 2028'!G11)+(0.35*LN(1+0.6*('Ход 2028'!B17*(1+'Эффекты технологий'!L$12)))*POWER(MAX(0,1-'Китай 2028'!I11/10),0.7))))</f>
        <v>7.5202960419678329</v>
      </c>
      <c r="C11" s="3">
        <f>MIN(1,(MIN(1,'Китай 2028'!C11+'Китай 2028'!F11+(0.08*LN(1+0.5*('Ход 2028'!C17*(1+'Эффекты технологий'!L$12)))*MAX(0,1-('Китай 2028'!C11+'Китай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7.5202960419678329</v>
      </c>
      <c r="J11" s="10">
        <f>SUMIFS('Эффекты технологий'!$M$25:$M$240,'Эффекты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2028'!L11+'Китай 2028'!N11+('Китай 2028'!M11+'Китай 2028'!P11+'Китай 2028'!Q11)))</f>
        <v>10</v>
      </c>
      <c r="M11" s="3">
        <f>MIN(1,(MIN(1,'Китай 2028'!M11+'Китай 2028'!P11+(0.1*LN(1+0.5*('Ход 2028'!H13*(1+'Эффекты технологий'!L$10)))*POWER(MAX(0,1-'Китай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технологий'!$M$25:$M$240,'Эффекты технологий'!$C$25:$C$240,$K11,'Эффекты технологий'!$D$25:$D$240,"Значение")</f>
        <v>0</v>
      </c>
      <c r="U11" s="3" t="s">
        <v>534</v>
      </c>
      <c r="V11" s="7">
        <f>'Китай 2028'!V11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2028'!B12+'Китай 2028'!D12+('Китай 2028'!C12+'Китай 2028'!F12+'Китай 2028'!G12)+(0.35*LN(1+0.6*('Ход 2028'!B18*(1+'Эффекты технологий'!L$12)))*POWER(MAX(0,1-'Китай 2028'!I12/10),0.7))))</f>
        <v>9.1500000000000021</v>
      </c>
      <c r="C12" s="3">
        <f>MIN(1,(MIN(1,'Китай 2028'!C12+'Китай 2028'!F12+(0.08*LN(1+0.5*('Ход 2028'!C18*(1+'Эффекты технологий'!L$12)))*MAX(0,1-('Китай 2028'!C12+'Китай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9.1500000000000021</v>
      </c>
      <c r="J12" s="10">
        <f>SUMIFS('Эффекты технологий'!$M$25:$M$240,'Эффекты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2028'!L12+'Китай 2028'!N12+('Китай 2028'!M12+'Китай 2028'!P12+'Китай 2028'!Q12)))</f>
        <v>9.4000000000000021</v>
      </c>
      <c r="M12" s="3">
        <f>MIN(1,(MIN(1,'Китай 2028'!M12+'Китай 2028'!P12+(0.1*LN(1+0.5*('Ход 2028'!H14*(1+'Эффекты технологий'!L$10)))*POWER(MAX(0,1-'Китай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9.4000000000000021</v>
      </c>
      <c r="T12" s="10">
        <f>SUMIFS('Эффекты технологий'!$M$25:$M$240,'Эффекты технологий'!$C$25:$C$240,$K12,'Эффекты технологий'!$D$25:$D$240,"Значение")</f>
        <v>0</v>
      </c>
      <c r="U12" s="3" t="s">
        <v>536</v>
      </c>
      <c r="V12" s="7">
        <f>'Китай 2028'!V12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2028'!B13+'Китай 2028'!D13+('Китай 2028'!C13+'Китай 2028'!F13+'Китай 2028'!G13)+(0.35*LN(1+0.6*('Ход 2028'!B19*(1+'Эффекты технологий'!L$12)))*POWER(MAX(0,1-'Китай 2028'!I13/10),0.7))))</f>
        <v>9.8499999999999979</v>
      </c>
      <c r="C13" s="3">
        <f>MIN(1,(MIN(1,'Китай 2028'!C13+'Китай 2028'!F13+(0.08*LN(1+0.5*('Ход 2028'!C19*(1+'Эффекты технологий'!L$12)))*MAX(0,1-('Китай 2028'!C13+'Китай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9.8499999999999979</v>
      </c>
      <c r="J13" s="10">
        <f>SUMIFS('Эффекты технологий'!$M$25:$M$240,'Эффекты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2028'!L13+'Китай 2028'!N13+('Китай 2028'!M13+'Китай 2028'!P13+'Китай 2028'!Q13)))</f>
        <v>9.9500000000000011</v>
      </c>
      <c r="M13" s="3">
        <f>MIN(1,(MIN(1,'Китай 2028'!M13+'Китай 2028'!P13+(0.1*LN(1+0.5*('Ход 2028'!H15*(1+'Эффекты технологий'!L$10)))*POWER(MAX(0,1-'Китай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9.9500000000000011</v>
      </c>
      <c r="T13" s="10">
        <f>SUMIFS('Эффекты технологий'!$M$25:$M$240,'Эффекты технологий'!$C$25:$C$240,$K13,'Эффекты технологий'!$D$25:$D$240,"Значение")</f>
        <v>0</v>
      </c>
      <c r="U13" s="3" t="s">
        <v>538</v>
      </c>
      <c r="V13" s="7">
        <f>'Китай 2028'!V13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2028'!B14+'Китай 2028'!D14+('Китай 2028'!C14+'Китай 2028'!F14+'Китай 2028'!G14)+(0.35*LN(1+0.6*('Ход 2028'!B20*(1+'Эффекты технологий'!L$12)))*POWER(MAX(0,1-'Китай 2028'!I14/10),0.7))))</f>
        <v>9.0610147840062574</v>
      </c>
      <c r="C14" s="3">
        <f>MIN(1,(MIN(1,'Китай 2028'!C14+'Китай 2028'!F14+(0.08*LN(1+0.5*('Ход 2028'!C20*(1+'Эффекты технологий'!L$12)))*MAX(0,1-('Китай 2028'!C14+'Китай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9.2610147840062567</v>
      </c>
      <c r="J14" s="10">
        <f>SUMIFS('Эффекты технологий'!$M$25:$M$240,'Эффекты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2028'!L14+'Китай 2028'!N14+('Китай 2028'!M14+'Китай 2028'!P14+'Китай 2028'!Q14)))</f>
        <v>9.5215593741048501</v>
      </c>
      <c r="M14" s="3">
        <f>MIN(1,(MIN(1,'Китай 2028'!M14+'Китай 2028'!P14+(0.1*LN(1+0.5*('Ход 2028'!H16*(1+'Эффекты технологий'!L$10)))*POWER(MAX(0,1-'Китай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9.5215593741048501</v>
      </c>
      <c r="T14" s="10">
        <f>SUMIFS('Эффекты технологий'!$M$25:$M$240,'Эффекты технологий'!$C$25:$C$240,$K14,'Эффекты технологий'!$D$25:$D$240,"Значение")</f>
        <v>0</v>
      </c>
      <c r="U14" s="3" t="s">
        <v>540</v>
      </c>
      <c r="V14" s="7">
        <f>'Китай 2028'!V14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2028'!B15+'Китай 2028'!D15+('Китай 2028'!C15+'Китай 2028'!F15+'Китай 2028'!G15)+(0.35*LN(1+0.6*('Ход 2028'!B21*(1+'Эффекты технологий'!L$12)))*POWER(MAX(0,1-'Китай 2028'!I15/10),0.7))))</f>
        <v>9.5499999999999989</v>
      </c>
      <c r="C15" s="3">
        <f>MIN(1,(MIN(1,'Китай 2028'!C15+'Китай 2028'!F15+(0.08*LN(1+0.5*('Ход 2028'!C21*(1+'Эффекты технологий'!L$12)))*MAX(0,1-('Китай 2028'!C15+'Китай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9.5499999999999989</v>
      </c>
      <c r="J15" s="10">
        <f>SUMIFS('Эффекты технологий'!$M$25:$M$240,'Эффекты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2028'!L15+'Китай 2028'!N15+('Китай 2028'!M15+'Китай 2028'!P15+'Китай 2028'!Q15)))</f>
        <v>9.2981667623918298</v>
      </c>
      <c r="M15" s="3">
        <f>MIN(1,(MIN(1,'Китай 2028'!M15+'Китай 2028'!P15+(0.1*LN(1+0.5*('Ход 2028'!H17*(1+'Эффекты технологий'!L$10)))*POWER(MAX(0,1-'Китай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9.2981667623918298</v>
      </c>
      <c r="T15" s="10">
        <f>SUMIFS('Эффекты технологий'!$M$25:$M$240,'Эффекты технологий'!$C$25:$C$240,$K15,'Эффекты технологий'!$D$25:$D$240,"Значение")</f>
        <v>0</v>
      </c>
      <c r="U15" s="3" t="s">
        <v>542</v>
      </c>
      <c r="V15" s="7">
        <f>'Китай 2028'!V15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2028'!B16+'Китай 2028'!D16+('Китай 2028'!C16+'Китай 2028'!F16+'Китай 2028'!G16)+(0.35*LN(1+0.6*('Ход 2028'!B22*(1+'Эффекты технологий'!L$12)))*POWER(MAX(0,1-'Китай 2028'!I16/10),0.7))))</f>
        <v>10</v>
      </c>
      <c r="C16" s="3">
        <f>MIN(1,(MIN(1,'Китай 2028'!C16+'Китай 2028'!F16+(0.08*LN(1+0.5*('Ход 2028'!C22*(1+'Эффекты технологий'!L$12)))*MAX(0,1-('Китай 2028'!C16+'Китай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технологий'!$M$25:$M$240,'Эффекты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2028'!L16+'Китай 2028'!N16+('Китай 2028'!M16+'Китай 2028'!P16+'Китай 2028'!Q16)))</f>
        <v>10</v>
      </c>
      <c r="M16" s="3">
        <f>MIN(1,(MIN(1,'Китай 2028'!M16+'Китай 2028'!P16+(0.1*LN(1+0.5*('Ход 2028'!H18*(1+'Эффекты технологий'!L$10)))*POWER(MAX(0,1-'Китай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технологий'!$M$25:$M$240,'Эффекты технологий'!$C$25:$C$240,$K16,'Эффекты технологий'!$D$25:$D$240,"Значение")</f>
        <v>0</v>
      </c>
      <c r="U16" s="3" t="s">
        <v>544</v>
      </c>
      <c r="V16" s="7">
        <f>'Китай 2028'!V16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2028'!B17+'Китай 2028'!D17+('Китай 2028'!C17+'Китай 2028'!F17+'Китай 2028'!G17)+(0.35*LN(1+0.6*('Ход 2028'!B23*(1+'Эффекты технологий'!L$12)))*POWER(MAX(0,1-'Китай 2028'!I17/10),0.7))))</f>
        <v>10</v>
      </c>
      <c r="C17" s="3">
        <f>MIN(1,(MIN(1,'Китай 2028'!C17+'Китай 2028'!F17+(0.08*LN(1+0.5*('Ход 2028'!C23*(1+'Эффекты технологий'!L$12)))*MAX(0,1-('Китай 2028'!C17+'Китай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технологий'!$M$25:$M$240,'Эффекты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2028'!L17+'Китай 2028'!N17+('Китай 2028'!M17+'Китай 2028'!P17+'Китай 2028'!Q17)))</f>
        <v>9.5499999999999989</v>
      </c>
      <c r="M17" s="3">
        <f>MIN(1,(MIN(1,'Китай 2028'!M17+'Китай 2028'!P17+(0.1*LN(1+0.5*('Ход 2028'!H19*(1+'Эффекты технологий'!L$10)))*POWER(MAX(0,1-'Китай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9.5499999999999989</v>
      </c>
      <c r="T17" s="10">
        <f>SUMIFS('Эффекты технологий'!$M$25:$M$240,'Эффекты технологий'!$C$25:$C$240,$K17,'Эффекты технологий'!$D$25:$D$240,"Значение")</f>
        <v>0</v>
      </c>
      <c r="U17" s="3" t="s">
        <v>546</v>
      </c>
      <c r="V17" s="7">
        <f>'Китай 2028'!V17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2028'!L18+'Китай 2028'!N18+('Китай 2028'!M18+'Китай 2028'!P18+'Китай 2028'!Q18)))</f>
        <v>9.5215593741048501</v>
      </c>
      <c r="M18" s="3">
        <f>MIN(1,(MIN(1,'Китай 2028'!M18+'Китай 2028'!P18+(0.1*LN(1+0.5*('Ход 2028'!H20*(1+'Эффекты технологий'!L$10)))*POWER(MAX(0,1-'Китай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9.5215593741048501</v>
      </c>
      <c r="T18" s="10">
        <f>SUMIFS('Эффекты технологий'!$M$25:$M$240,'Эффекты технологий'!$C$25:$C$240,$K18,'Эффекты технологий'!$D$25:$D$240,"Значение")</f>
        <v>0</v>
      </c>
      <c r="U18" s="3" t="s">
        <v>548</v>
      </c>
      <c r="V18" s="7">
        <f>'Китай 2028'!V18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2028'!B19+'Китай 2028'!D19+('Китай 2028'!C19+'Китай 2028'!F19+'Китай 2028'!G19)+(0.35*LN(1+0.6*'Ход 2028'!B25)*POWER(MAX(0,1-'Китай 2028'!I19/10),0.7))))</f>
        <v>8.8033200137544654</v>
      </c>
      <c r="C19" s="3">
        <f>MIN(1,(MIN(1,'Китай 2028'!C19+'Китай 2028'!F19+(0.08*LN(1+0.5*'Ход 2028'!C25)*MAX(0,1-('Китай 2028'!C19+'Китай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8.8033200137544654</v>
      </c>
      <c r="J19" s="10">
        <f>SUMIFS('Эффекты технологий'!$M$25:$M$240,'Эффекты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2028'!V19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2028'!B20+'Китай 2028'!D20+('Китай 2028'!C20+'Китай 2028'!F20+'Китай 2028'!G20)+(0.35*LN(1+0.6*'Ход 2028'!B26)*POWER(MAX(0,1-'Китай 2028'!I20/10),0.7))))</f>
        <v>9.4304906499574752</v>
      </c>
      <c r="C20" s="3">
        <f>MIN(1,(MIN(1,'Китай 2028'!C20+'Китай 2028'!F20+(0.08*LN(1+0.5*'Ход 2028'!C26)*MAX(0,1-('Китай 2028'!C20+'Китай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9.4304906499574752</v>
      </c>
      <c r="J20" s="10">
        <f>SUMIFS('Эффекты технологий'!$M$25:$M$240,'Эффекты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2028'!V20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2028'!B21+'Китай 2028'!D21+('Китай 2028'!C21+'Китай 2028'!F21+'Китай 2028'!G21)+(0.35*LN(1+0.6*'Ход 2028'!B27)*POWER(MAX(0,1-'Китай 2028'!I21/10),0.7))))</f>
        <v>9.5999999999999979</v>
      </c>
      <c r="C21" s="3">
        <f>MIN(1,(MIN(1,'Китай 2028'!C21+'Китай 2028'!F21+(0.08*LN(1+0.5*'Ход 2028'!C27)*MAX(0,1-('Китай 2028'!C21+'Китай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9.5999999999999979</v>
      </c>
      <c r="J21" s="10">
        <f>SUMIFS('Эффекты технологий'!$M$25:$M$240,'Эффекты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2028'!V21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2028'!B22+'Китай 2028'!D22+('Китай 2028'!C22+'Китай 2028'!F22+'Китай 2028'!G22)+(0.35*LN(1+0.6*'Ход 2028'!B28)*POWER(MAX(0,1-'Китай 2028'!I22/10),0.7))))</f>
        <v>10</v>
      </c>
      <c r="C22" s="3">
        <f>MIN(1,(MIN(1,'Китай 2028'!C22+'Китай 2028'!F22+(0.08*LN(1+0.5*'Ход 2028'!C28)*MAX(0,1-('Китай 2028'!C22+'Китай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технологий'!$M$25:$M$240,'Эффекты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2028'!V22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2028'!B23+'Китай 2028'!D23+('Китай 2028'!C23+'Китай 2028'!F23+'Китай 2028'!G23)+(0.35*LN(1+0.6*'Ход 2028'!B29)*POWER(MAX(0,1-'Китай 2028'!I23/10),0.7))))</f>
        <v>9.9500000000000011</v>
      </c>
      <c r="C23" s="3">
        <f>MIN(1,(MIN(1,'Китай 2028'!C23+'Китай 2028'!F23+(0.08*LN(1+0.5*'Ход 2028'!C29)*MAX(0,1-('Китай 2028'!C23+'Китай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9.9500000000000011</v>
      </c>
      <c r="J23" s="10">
        <f>SUMIFS('Эффекты технологий'!$M$25:$M$240,'Эффекты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2028'!V23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2028'!V24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2028'!B25+'Китай 2028'!D25+('Китай 2028'!C25+'Китай 2028'!F25+'Китай 2028'!G25)+(0.35*LN(1+0.6*'Ход 2028'!B31)*POWER(MAX(0,1-'Китай 2028'!I25/10),0.7))))</f>
        <v>10</v>
      </c>
      <c r="C25" s="3">
        <f>MIN(1,(MIN(1,'Китай 2028'!C25+'Китай 2028'!F25+(0.08*LN(1+0.5*'Ход 2028'!C31)*MAX(0,1-('Китай 2028'!C25+'Китай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технологий'!$M$25:$M$240,'Эффекты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2028'!V25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2028'!B26+'Китай 2028'!D26+('Китай 2028'!C26+'Китай 2028'!F26+'Китай 2028'!G26)+(0.35*LN(1+0.6*'Ход 2028'!B32)*POWER(MAX(0,1-'Китай 2028'!I26/10),0.7))))</f>
        <v>9.9500000000000011</v>
      </c>
      <c r="C26" s="3">
        <f>MIN(1,(MIN(1,'Китай 2028'!C26+'Китай 2028'!F26+(0.08*LN(1+0.5*'Ход 2028'!C32)*MAX(0,1-('Китай 2028'!C26+'Китай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9.9500000000000011</v>
      </c>
      <c r="J26" s="10">
        <f>SUMIFS('Эффекты технологий'!$M$25:$M$240,'Эффекты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2028'!V26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2028'!B27+'Китай 2028'!D27+('Китай 2028'!C27+'Китай 2028'!F27+'Китай 2028'!G27)+(0.35*LN(1+0.6*'Ход 2028'!B33)*POWER(MAX(0,1-'Китай 2028'!I27/10),0.7))))</f>
        <v>9.7999999999999989</v>
      </c>
      <c r="C27" s="3">
        <f>MIN(1,(MIN(1,'Китай 2028'!C27+'Китай 2028'!F27+(0.08*LN(1+0.5*'Ход 2028'!C33)*MAX(0,1-('Китай 2028'!C27+'Китай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9.7999999999999989</v>
      </c>
      <c r="J27" s="10">
        <f>SUMIFS('Эффекты технологий'!$M$25:$M$240,'Эффекты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2028'!B28+'Китай 2028'!D28+('Китай 2028'!C28+'Китай 2028'!F28+'Китай 2028'!G28)+(0.35*LN(1+0.6*'Ход 2028'!B34)*POWER(MAX(0,1-'Китай 2028'!I28/10),0.7))))</f>
        <v>9.9500000000000011</v>
      </c>
      <c r="C28" s="3">
        <f>MIN(1,(MIN(1,'Китай 2028'!C28+'Китай 2028'!F28+(0.08*LN(1+0.5*'Ход 2028'!C34)*MAX(0,1-('Китай 2028'!C28+'Китай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9.9500000000000011</v>
      </c>
      <c r="J28" s="10">
        <f>SUMIFS('Эффекты технологий'!$M$25:$M$240,'Эффекты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2028'!B29+'Китай 2028'!D29+('Китай 2028'!C29+'Китай 2028'!F29+'Китай 2028'!G29)+(0.35*LN(1+0.6*'Ход 2028'!B35)*POWER(MAX(0,1-'Китай 2028'!I29/10),0.7))))</f>
        <v>9.25</v>
      </c>
      <c r="C29" s="3">
        <f>MIN(1,(MIN(1,'Китай 2028'!C29+'Китай 2028'!F29+(0.08*LN(1+0.5*'Ход 2028'!C35)*MAX(0,1-('Китай 2028'!C29+'Китай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9.25</v>
      </c>
      <c r="J29" s="10">
        <f>SUMIFS('Эффекты технологий'!$M$25:$M$240,'Эффекты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2028'!B30+'Китай 2028'!D30+('Китай 2028'!C30+'Китай 2028'!F30+'Китай 2028'!G30)+(0.35*LN(1+0.6*'Ход 2028'!B36)*POWER(MAX(0,1-'Китай 2028'!I30/10),0.7))))</f>
        <v>8.1</v>
      </c>
      <c r="C30" s="3">
        <f>MIN(1,(MIN(1,'Китай 2028'!C30+'Китай 2028'!F30+(0.08*LN(1+0.5*'Ход 2028'!C36)*MAX(0,1-('Китай 2028'!C30+'Китай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8.1</v>
      </c>
      <c r="J30" s="10">
        <f>SUMIFS('Эффекты технологий'!$M$25:$M$240,'Эффекты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2028'!B31+'Китай 2028'!D31+('Китай 2028'!C31+'Китай 2028'!F31+'Китай 2028'!G31)+(0.35*LN(1+0.6*'Ход 2028'!B37)*POWER(MAX(0,1-'Китай 2028'!I31/10),0.7))))</f>
        <v>7.6452969192829645</v>
      </c>
      <c r="C31" s="3">
        <f>MIN(1,(MIN(1,'Китай 2028'!C31+'Китай 2028'!F31+(0.08*LN(1+0.5*'Ход 2028'!C37)*MAX(0,1-('Китай 2028'!C31+'Китай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7.6452969192829645</v>
      </c>
      <c r="J31" s="10">
        <f>SUMIFS('Эффекты технологий'!$M$25:$M$240,'Эффекты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2028'!B32+'Китай 2028'!D32+('Китай 2028'!C32+'Китай 2028'!F32+'Китай 2028'!G32)+(0.35*LN(1+0.6*'Ход 2028'!B38)*POWER(MAX(0,1-'Китай 2028'!I32/10),0.7))))</f>
        <v>9.4500000000000011</v>
      </c>
      <c r="C32" s="3">
        <f>MIN(1,(MIN(1,'Китай 2028'!C32+'Китай 2028'!F32+(0.08*LN(1+0.5*'Ход 2028'!C38)*MAX(0,1-('Китай 2028'!C32+'Китай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9.4500000000000011</v>
      </c>
      <c r="J32" s="10">
        <f>SUMIFS('Эффекты технологий'!$M$25:$M$240,'Эффекты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2028'!B34+'Китай 2028'!D34+('Китай 2028'!C34+'Китай 2028'!F34+'Китай 2028'!G34)+(0.35*LN(1+0.6*'Ход 2028'!B40)*POWER(MAX(0,1-'Китай 2028'!I34/10),0.7))))</f>
        <v>9.9500000000000011</v>
      </c>
      <c r="C34" s="3">
        <f>MIN(1,(MIN(1,'Китай 2028'!C34+'Китай 2028'!F34+(0.08*LN(1+0.5*'Ход 2028'!C40)*MAX(0,1-('Китай 2028'!C34+'Китай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9.9500000000000011</v>
      </c>
      <c r="J34" s="10">
        <f>SUMIFS('Эффекты технологий'!$M$25:$M$240,'Эффекты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2028'!B35+'Китай 2028'!D35+('Китай 2028'!C35+'Китай 2028'!F35+'Китай 2028'!G35)+(0.35*LN(1+0.6*'Ход 2028'!B41)*POWER(MAX(0,1-'Китай 2028'!I35/10),0.7))))</f>
        <v>10</v>
      </c>
      <c r="C35" s="3">
        <f>MIN(1,(MIN(1,'Китай 2028'!C35+'Китай 2028'!F35+(0.08*LN(1+0.5*'Ход 2028'!C41)*MAX(0,1-('Китай 2028'!C35+'Китай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технологий'!$M$25:$M$240,'Эффекты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2028'!B36+'Китай 2028'!D36+('Китай 2028'!C36+'Китай 2028'!F36+'Китай 2028'!G36)+(0.35*LN(1+0.6*'Ход 2028'!B42)*POWER(MAX(0,1-'Китай 2028'!I36/10),0.7))))</f>
        <v>9.9500000000000011</v>
      </c>
      <c r="C36" s="3">
        <f>MIN(1,(MIN(1,'Китай 2028'!C36+'Китай 2028'!F36+(0.08*LN(1+0.5*'Ход 2028'!C42)*MAX(0,1-('Китай 2028'!C36+'Китай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9.9500000000000011</v>
      </c>
      <c r="J36" s="10">
        <f>SUMIFS('Эффекты технологий'!$M$25:$M$240,'Эффекты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2028'!B37+'Китай 2028'!D37+('Китай 2028'!C37+'Китай 2028'!F37+'Китай 2028'!G37)+(0.35*LN(1+0.6*'Ход 2028'!B43)*POWER(MAX(0,1-'Китай 2028'!I37/10),0.7))))</f>
        <v>9.9500000000000011</v>
      </c>
      <c r="C37" s="3">
        <f>MIN(1,(MIN(1,'Китай 2028'!C37+'Китай 2028'!F37+(0.08*LN(1+0.5*'Ход 2028'!C43)*MAX(0,1-('Китай 2028'!C37+'Китай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9.9500000000000011</v>
      </c>
      <c r="J37" s="10">
        <f>SUMIFS('Эффекты технологий'!$M$25:$M$240,'Эффекты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2028'!B38+'Китай 2028'!D38+('Китай 2028'!C38+'Китай 2028'!F38+'Китай 2028'!G38)+(0.35*LN(1+0.6*'Ход 2028'!B44)*POWER(MAX(0,1-'Китай 2028'!I38/10),0.7))))</f>
        <v>9.7999999999999989</v>
      </c>
      <c r="C38" s="3">
        <f>MIN(1,(MIN(1,'Китай 2028'!C38+'Китай 2028'!F38+(0.08*LN(1+0.5*'Ход 2028'!C44)*MAX(0,1-('Китай 2028'!C38+'Китай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9.7999999999999989</v>
      </c>
      <c r="J38" s="10">
        <f>SUMIFS('Эффекты технологий'!$M$25:$M$240,'Эффекты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2028'!B39+'Китай 2028'!D39+('Китай 2028'!C39+'Китай 2028'!F39+'Китай 2028'!G39)+(0.35*LN(1+0.6*'Ход 2028'!B45)*POWER(MAX(0,1-'Китай 2028'!I39/10),0.7))))</f>
        <v>9.4500000000000011</v>
      </c>
      <c r="C39" s="3">
        <f>MIN(1,(MIN(1,'Китай 2028'!C39+'Китай 2028'!F39+(0.08*LN(1+0.5*'Ход 2028'!C45)*MAX(0,1-('Китай 2028'!C39+'Китай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9.4500000000000011</v>
      </c>
      <c r="J39" s="10">
        <f>SUMIFS('Эффекты технологий'!$M$25:$M$240,'Эффекты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2028'!B40+'Китай 2028'!D40+('Китай 2028'!C40+'Китай 2028'!F40+'Китай 2028'!G40)+(0.35*LN(1+0.6*'Ход 2028'!B46)*POWER(MAX(0,1-'Китай 2028'!I40/10),0.7))))</f>
        <v>9.2999999999999989</v>
      </c>
      <c r="C40" s="3">
        <f>MIN(1,(MIN(1,'Китай 2028'!C40+'Китай 2028'!F40+(0.08*LN(1+0.5*'Ход 2028'!C46)*MAX(0,1-('Китай 2028'!C40+'Китай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9.2999999999999989</v>
      </c>
      <c r="J40" s="10">
        <f>SUMIFS('Эффекты технологий'!$M$25:$M$240,'Эффекты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2028'!B41+'Китай 2028'!D41+('Китай 2028'!C41+'Китай 2028'!F41+'Китай 2028'!G41)+(0.35*LN(1+0.6*'Ход 2028'!B47)*POWER(MAX(0,1-'Китай 2028'!I41/10),0.7))))</f>
        <v>9.7999999999999989</v>
      </c>
      <c r="C41" s="3">
        <f>MIN(1,(MIN(1,'Китай 2028'!C41+'Китай 2028'!F41+(0.08*LN(1+0.5*'Ход 2028'!C47)*MAX(0,1-('Китай 2028'!C41+'Китай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9.7999999999999989</v>
      </c>
      <c r="J41" s="10">
        <f>SUMIFS('Эффекты технологий'!$M$25:$M$240,'Эффекты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2028'!B42+'Китай 2028'!D42+('Китай 2028'!C42+'Китай 2028'!F42+'Китай 2028'!G42)+(0.35*LN(1+0.6*'Ход 2028'!B48)*POWER(MAX(0,1-'Китай 2028'!I42/10),0.7))))</f>
        <v>10</v>
      </c>
      <c r="C42" s="3">
        <f>MIN(1,(MIN(1,'Китай 2028'!C42+'Китай 2028'!F42+(0.08*LN(1+0.5*'Ход 2028'!C48)*MAX(0,1-('Китай 2028'!C42+'Китай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технологий'!$M$25:$M$240,'Эффекты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2028'!B44+'Китай 2028'!D44+('Китай 2028'!C44+'Китай 2028'!F44+'Китай 2028'!G44)+(0.35*LN(1+0.6*'Ход 2028'!B50)*POWER(MAX(0,1-'Китай 2028'!I44/10),0.7))))</f>
        <v>8.2603536599674072</v>
      </c>
      <c r="C44" s="3">
        <f>MIN(1,(MIN(1,'Китай 2028'!C44+'Китай 2028'!F44+(0.08*LN(1+0.5*'Ход 2028'!C50)*MAX(0,1-('Китай 2028'!C44+'Китай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8.2603536599674072</v>
      </c>
      <c r="J44" s="10">
        <f>SUMIFS('Эффекты технологий'!$M$25:$M$240,'Эффекты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2028'!B45+'Китай 2028'!D45+('Китай 2028'!C45+'Китай 2028'!F45+'Китай 2028'!G45)+(0.35*LN(1+0.6*'Ход 2028'!B51)*POWER(MAX(0,1-'Китай 2028'!I45/10),0.7))))</f>
        <v>9.7999999999999989</v>
      </c>
      <c r="C45" s="3">
        <f>MIN(1,(MIN(1,'Китай 2028'!C45+'Китай 2028'!F45+(0.08*LN(1+0.5*'Ход 2028'!C51)*MAX(0,1-('Китай 2028'!C45+'Китай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9.7999999999999989</v>
      </c>
      <c r="J45" s="10">
        <f>SUMIFS('Эффекты технологий'!$M$25:$M$240,'Эффекты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2028'!B46+'Китай 2028'!D46+('Китай 2028'!C46+'Китай 2028'!F46+'Китай 2028'!G46)+(0.35*LN(1+0.6*'Ход 2028'!B52)*POWER(MAX(0,1-'Китай 2028'!I46/10),0.7))))</f>
        <v>9.7999999999999989</v>
      </c>
      <c r="C46" s="3">
        <f>MIN(1,(MIN(1,'Китай 2028'!C46+'Китай 2028'!F46+(0.08*LN(1+0.5*'Ход 2028'!C52)*MAX(0,1-('Китай 2028'!C46+'Китай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9.7999999999999989</v>
      </c>
      <c r="J46" s="10">
        <f>SUMIFS('Эффекты технологий'!$M$25:$M$240,'Эффекты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2028'!B47+'Китай 2028'!D47+('Китай 2028'!C47+'Китай 2028'!F47+'Китай 2028'!G47)+(0.35*LN(1+0.6*'Ход 2028'!B53)*POWER(MAX(0,1-'Китай 2028'!I47/10),0.7))))</f>
        <v>6.0153496665841377</v>
      </c>
      <c r="C47" s="3">
        <f>MIN(1,(MIN(1,'Китай 2028'!C47+'Китай 2028'!F47+(0.08*LN(1+0.5*'Ход 2028'!C53)*MAX(0,1-('Китай 2028'!C47+'Китай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6.0153496665841377</v>
      </c>
      <c r="J47" s="10">
        <f>SUMIFS('Эффекты технологий'!$M$25:$M$240,'Эффекты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2028'!B48+'Китай 2028'!D48+('Китай 2028'!C48+'Китай 2028'!F48+'Китай 2028'!G48)+(0.35*LN(1+0.6*'Ход 2028'!B54)*POWER(MAX(0,1-'Китай 2028'!I48/10),0.7))))</f>
        <v>8.6500000000000021</v>
      </c>
      <c r="C48" s="3">
        <f>MIN(1,(MIN(1,'Китай 2028'!C48+'Китай 2028'!F48+(0.08*LN(1+0.5*'Ход 2028'!C54)*MAX(0,1-('Китай 2028'!C48+'Китай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8.6500000000000021</v>
      </c>
      <c r="J48" s="10">
        <f>SUMIFS('Эффекты технологий'!$M$25:$M$240,'Эффекты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2028'!B49+'Китай 2028'!D49+('Китай 2028'!C49+'Китай 2028'!F49+'Китай 2028'!G49)+(0.35*LN(1+0.6*'Ход 2028'!B55)*POWER(MAX(0,1-'Китай 2028'!I49/10),0.7))))</f>
        <v>9.75</v>
      </c>
      <c r="C49" s="3">
        <f>MIN(1,(MIN(1,'Китай 2028'!C49+'Китай 2028'!F49+(0.08*LN(1+0.5*'Ход 2028'!C55)*MAX(0,1-('Китай 2028'!C49+'Китай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9.75</v>
      </c>
      <c r="J49" s="10">
        <f>SUMIFS('Эффекты технологий'!$M$25:$M$240,'Эффекты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2028'!B50+'Китай 2028'!D50+('Китай 2028'!C50+'Китай 2028'!F50+'Китай 2028'!G50)+(0.35*LN(1+0.6*'Ход 2028'!B56)*POWER(MAX(0,1-'Китай 2028'!I50/10),0.7))))</f>
        <v>10</v>
      </c>
      <c r="C50" s="3">
        <f>MIN(1,(MIN(1,'Китай 2028'!C50+'Китай 2028'!F50+(0.08*LN(1+0.5*'Ход 2028'!C56)*MAX(0,1-('Китай 2028'!C50+'Китай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технологий'!$M$25:$M$240,'Эффекты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2028'!B51+'Китай 2028'!D51+('Китай 2028'!C51+'Китай 2028'!F51+'Китай 2028'!G51)+(0.35*LN(1+0.6*'Ход 2028'!B57)*POWER(MAX(0,1-'Китай 2028'!I51/10),0.7))))</f>
        <v>9.7999999999999989</v>
      </c>
      <c r="C51" s="3">
        <f>MIN(1,(MIN(1,'Китай 2028'!C51+'Китай 2028'!F51+(0.08*LN(1+0.5*'Ход 2028'!C57)*MAX(0,1-('Китай 2028'!C51+'Китай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9.7999999999999989</v>
      </c>
      <c r="J51" s="10">
        <f>SUMIFS('Эффекты технологий'!$M$25:$M$240,'Эффекты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2028'!B53+'Китай 2028'!D53+('Китай 2028'!C53+'Китай 2028'!F53+'Китай 2028'!G53)+(0.35*LN(1+0.6*'Ход 2028'!B59)*POWER(MAX(0,1-'Китай 2028'!I53/10),0.7))))</f>
        <v>9.9500000000000011</v>
      </c>
      <c r="C53" s="3">
        <f>MIN(1,(MIN(1,'Китай 2028'!C53+'Китай 2028'!F53+(0.08*LN(1+0.5*'Ход 2028'!C59)*MAX(0,1-('Китай 2028'!C53+'Китай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9.9500000000000011</v>
      </c>
      <c r="J53" s="10">
        <f>SUMIFS('Эффекты технологий'!$M$25:$M$240,'Эффекты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2028'!B54+'Китай 2028'!D54+('Китай 2028'!C54+'Китай 2028'!F54+'Китай 2028'!G54)+(0.35*LN(1+0.6*'Ход 2028'!B60)*POWER(MAX(0,1-'Китай 2028'!I54/10),0.7))))</f>
        <v>9.7999999999999989</v>
      </c>
      <c r="C54" s="3">
        <f>MIN(1,(MIN(1,'Китай 2028'!C54+'Китай 2028'!F54+(0.08*LN(1+0.5*'Ход 2028'!C60)*MAX(0,1-('Китай 2028'!C54+'Китай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9.7999999999999989</v>
      </c>
      <c r="J54" s="10">
        <f>SUMIFS('Эффекты технологий'!$M$25:$M$240,'Эффекты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2028'!B55+'Китай 2028'!D55+('Китай 2028'!C55+'Китай 2028'!F55+'Китай 2028'!G55)+(0.35*LN(1+0.6*'Ход 2028'!B61)*POWER(MAX(0,1-'Китай 2028'!I55/10),0.7))))</f>
        <v>9.4500000000000011</v>
      </c>
      <c r="C55" s="3">
        <f>MIN(1,(MIN(1,'Китай 2028'!C55+'Китай 2028'!F55+(0.08*LN(1+0.5*'Ход 2028'!C61)*MAX(0,1-('Китай 2028'!C55+'Китай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9.4500000000000011</v>
      </c>
      <c r="J55" s="10">
        <f>SUMIFS('Эффекты технологий'!$M$25:$M$240,'Эффекты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351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2029'!U6</f>
        <v>98.89536706127484</v>
      </c>
      <c r="C6" s="3"/>
      <c r="D6" s="3"/>
      <c r="E6" s="3" t="s">
        <v>321</v>
      </c>
      <c r="F6" s="3">
        <f>'Китай 2029'!K6</f>
        <v>97.249605473461159</v>
      </c>
      <c r="G6" s="3"/>
      <c r="H6" s="3"/>
      <c r="I6" s="3" t="s">
        <v>321</v>
      </c>
      <c r="J6" s="3">
        <f>'Китай 2029'!N6</f>
        <v>98.530879399425714</v>
      </c>
      <c r="K6" s="3"/>
      <c r="L6" s="3"/>
      <c r="M6" s="3" t="s">
        <v>321</v>
      </c>
      <c r="N6" s="3">
        <f>'Китай 2029'!Q6</f>
        <v>83.054721995134003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98.89536706127484</v>
      </c>
      <c r="C8" s="3" t="str">
        <f>IF(B8&lt;0,"ПРЕВЫШЕНИЕ","OK")</f>
        <v>OK</v>
      </c>
      <c r="D8" s="3"/>
      <c r="E8" s="3" t="s">
        <v>323</v>
      </c>
      <c r="F8" s="3">
        <f>F6-F7</f>
        <v>97.249605473461159</v>
      </c>
      <c r="G8" s="3" t="str">
        <f>IF(F8&lt;0,"ПРЕВЫШЕНИЕ","OK")</f>
        <v>OK</v>
      </c>
      <c r="H8" s="3"/>
      <c r="I8" s="3" t="s">
        <v>323</v>
      </c>
      <c r="J8" s="3">
        <f>J6-J7</f>
        <v>98.530879399425714</v>
      </c>
      <c r="K8" s="3" t="str">
        <f>IF(J8&lt;0,"ПРЕВЫШЕНИЕ","OK")</f>
        <v>OK</v>
      </c>
      <c r="L8" s="3"/>
      <c r="M8" s="3" t="s">
        <v>323</v>
      </c>
      <c r="N8" s="3">
        <f>N6-N7</f>
        <v>83.054721995134003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2029'!V11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2029'!V12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2029'!V13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2029'!V14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2029'!V15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2029'!V16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2029'!V17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2029'!V18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2029'!V19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2029'!V20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2029'!V21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2029'!V22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технологий'!M$16</f>
        <v>0</v>
      </c>
      <c r="H25" s="11">
        <f>'Эффекты технологий'!M$17</f>
        <v>0</v>
      </c>
      <c r="I25" s="11">
        <f>'Эффекты технологий'!M$18</f>
        <v>0</v>
      </c>
      <c r="J25" s="12"/>
      <c r="K25" s="3"/>
      <c r="L25" s="3" t="s">
        <v>558</v>
      </c>
      <c r="M25" s="3">
        <f>'Китай 2029'!V23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2029'!V24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2029'!V25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2029'!V26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IF(G30="","",VLOOKUP(G30,Технологии!$A$11:$BF$50,47,FALSE))</f>
        <v/>
      </c>
      <c r="L30" s="3"/>
      <c r="M30" s="3"/>
      <c r="N30" s="12" t="s">
        <v>340</v>
      </c>
      <c r="O30" s="11">
        <f>'Эффекты технологий'!M$13</f>
        <v>0</v>
      </c>
      <c r="P30" s="11">
        <f>'Эффекты технологий'!M$14</f>
        <v>0</v>
      </c>
      <c r="Q30" s="11">
        <f>'Эффекты технологий'!M$15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569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97.960651841149669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99.415952648822042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84.056815596057689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99.533021552309179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2029'!B8+'Китай 2029'!D8+('Китай 2029'!C8+'Китай 2029'!F8+'Китай 2029'!G8)+(0.35*LN(1+0.6*('Ход 2029'!B14*(1+'Эффекты технологий'!M$12)))*POWER(MAX(0,1-'Китай 2029'!I8/10),0.7))))</f>
        <v>9.7000000000000028</v>
      </c>
      <c r="C8" s="3">
        <f>MIN(1,(MIN(1,'Китай 2029'!C8+'Китай 2029'!F8+(0.08*LN(1+0.5*('Ход 2029'!C14*(1+'Эффекты технологий'!M$12)))*MAX(0,1-('Китай 2029'!C8+'Китай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9.7000000000000028</v>
      </c>
      <c r="J8" s="10">
        <f>SUMIFS('Эффекты технологий'!$N$25:$N$240,'Эффекты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2029'!B9+'Китай 2029'!D9+('Китай 2029'!C9+'Китай 2029'!F9+'Китай 2029'!G9)+(0.35*LN(1+0.6*('Ход 2029'!B15*(1+'Эффекты технологий'!M$12)))*POWER(MAX(0,1-'Китай 2029'!I9/10),0.7))))</f>
        <v>9.8999999999999986</v>
      </c>
      <c r="C9" s="3">
        <f>MIN(1,(MIN(1,'Китай 2029'!C9+'Китай 2029'!F9+(0.08*LN(1+0.5*('Ход 2029'!C15*(1+'Эффекты технологий'!M$12)))*MAX(0,1-('Китай 2029'!C9+'Китай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9.8999999999999986</v>
      </c>
      <c r="J9" s="10">
        <f>SUMIFS('Эффекты технологий'!$N$25:$N$240,'Эффекты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2029'!B10+'Китай 2029'!D10+('Китай 2029'!C10+'Китай 2029'!F10+'Китай 2029'!G10)+(0.35*LN(1+0.6*('Ход 2029'!B16*(1+'Эффекты технологий'!M$12)))*POWER(MAX(0,1-'Китай 2029'!I10/10),0.7))))</f>
        <v>10</v>
      </c>
      <c r="C10" s="3">
        <f>MIN(1,(MIN(1,'Китай 2029'!C10+'Китай 2029'!F10+(0.08*LN(1+0.5*('Ход 2029'!C16*(1+'Эффекты технологий'!M$12)))*MAX(0,1-('Китай 2029'!C10+'Китай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технологий'!$N$25:$N$240,'Эффекты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2029'!B11+'Китай 2029'!D11+('Китай 2029'!C11+'Китай 2029'!F11+'Китай 2029'!G11)+(0.35*LN(1+0.6*('Ход 2029'!B17*(1+'Эффекты технологий'!M$12)))*POWER(MAX(0,1-'Китай 2029'!I11/10),0.7))))</f>
        <v>7.7921356858753406</v>
      </c>
      <c r="C11" s="3">
        <f>MIN(1,(MIN(1,'Китай 2029'!C11+'Китай 2029'!F11+(0.08*LN(1+0.5*('Ход 2029'!C17*(1+'Эффекты технологий'!M$12)))*MAX(0,1-('Китай 2029'!C11+'Китай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7.7921356858753406</v>
      </c>
      <c r="J11" s="10">
        <f>SUMIFS('Эффекты технологий'!$N$25:$N$240,'Эффекты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2029'!L11+'Китай 2029'!N11+('Китай 2029'!M11+'Китай 2029'!P11+'Китай 2029'!Q11)))</f>
        <v>10</v>
      </c>
      <c r="M11" s="3">
        <f>MIN(1,(MIN(1,'Китай 2029'!M11+'Китай 2029'!P11+(0.1*LN(1+0.5*('Ход 2029'!H13*(1+'Эффекты технологий'!M$10)))*POWER(MAX(0,1-'Китай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технологий'!$N$25:$N$240,'Эффекты технологий'!$C$25:$C$240,$K11,'Эффекты технологий'!$D$25:$D$240,"Значение")</f>
        <v>0</v>
      </c>
      <c r="U11" s="3" t="s">
        <v>534</v>
      </c>
      <c r="V11" s="7">
        <f>'Китай 2029'!V11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2029'!B12+'Китай 2029'!D12+('Китай 2029'!C12+'Китай 2029'!F12+'Китай 2029'!G12)+(0.35*LN(1+0.6*('Ход 2029'!B18*(1+'Эффекты технологий'!M$12)))*POWER(MAX(0,1-'Китай 2029'!I12/10),0.7))))</f>
        <v>9.2000000000000028</v>
      </c>
      <c r="C12" s="3">
        <f>MIN(1,(MIN(1,'Китай 2029'!C12+'Китай 2029'!F12+(0.08*LN(1+0.5*('Ход 2029'!C18*(1+'Эффекты технологий'!M$12)))*MAX(0,1-('Китай 2029'!C12+'Китай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9.2000000000000028</v>
      </c>
      <c r="J12" s="10">
        <f>SUMIFS('Эффекты технологий'!$N$25:$N$240,'Эффекты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2029'!L12+'Китай 2029'!N12+('Китай 2029'!M12+'Китай 2029'!P12+'Китай 2029'!Q12)))</f>
        <v>9.7000000000000028</v>
      </c>
      <c r="M12" s="3">
        <f>MIN(1,(MIN(1,'Китай 2029'!M12+'Китай 2029'!P12+(0.1*LN(1+0.5*('Ход 2029'!H14*(1+'Эффекты технологий'!M$10)))*POWER(MAX(0,1-'Китай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9.7000000000000028</v>
      </c>
      <c r="T12" s="10">
        <f>SUMIFS('Эффекты технологий'!$N$25:$N$240,'Эффекты технологий'!$C$25:$C$240,$K12,'Эффекты технологий'!$D$25:$D$240,"Значение")</f>
        <v>0</v>
      </c>
      <c r="U12" s="3" t="s">
        <v>536</v>
      </c>
      <c r="V12" s="7">
        <f>'Китай 2029'!V12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2029'!B13+'Китай 2029'!D13+('Китай 2029'!C13+'Китай 2029'!F13+'Китай 2029'!G13)+(0.35*LN(1+0.6*('Ход 2029'!B19*(1+'Эффекты технологий'!M$12)))*POWER(MAX(0,1-'Китай 2029'!I13/10),0.7))))</f>
        <v>10</v>
      </c>
      <c r="C13" s="3">
        <f>MIN(1,(MIN(1,'Китай 2029'!C13+'Китай 2029'!F13+(0.08*LN(1+0.5*('Ход 2029'!C19*(1+'Эффекты технологий'!M$12)))*MAX(0,1-('Китай 2029'!C13+'Китай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технологий'!$N$25:$N$240,'Эффекты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2029'!L13+'Китай 2029'!N13+('Китай 2029'!M13+'Китай 2029'!P13+'Китай 2029'!Q13)))</f>
        <v>10</v>
      </c>
      <c r="M13" s="3">
        <f>MIN(1,(MIN(1,'Китай 2029'!M13+'Китай 2029'!P13+(0.1*LN(1+0.5*('Ход 2029'!H15*(1+'Эффекты технологий'!M$10)))*POWER(MAX(0,1-'Китай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технологий'!$N$25:$N$240,'Эффекты технологий'!$C$25:$C$240,$K13,'Эффекты технологий'!$D$25:$D$240,"Значение")</f>
        <v>0</v>
      </c>
      <c r="U13" s="3" t="s">
        <v>538</v>
      </c>
      <c r="V13" s="7">
        <f>'Китай 2029'!V13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2029'!B14+'Китай 2029'!D14+('Китай 2029'!C14+'Китай 2029'!F14+'Китай 2029'!G14)+(0.35*LN(1+0.6*('Ход 2029'!B20*(1+'Эффекты технологий'!M$12)))*POWER(MAX(0,1-'Китай 2029'!I14/10),0.7))))</f>
        <v>9.6165221760093864</v>
      </c>
      <c r="C14" s="3">
        <f>MIN(1,(MIN(1,'Китай 2029'!C14+'Китай 2029'!F14+(0.08*LN(1+0.5*('Ход 2029'!C20*(1+'Эффекты технологий'!M$12)))*MAX(0,1-('Китай 2029'!C14+'Китай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9.8165221760093857</v>
      </c>
      <c r="J14" s="10">
        <f>SUMIFS('Эффекты технологий'!$N$25:$N$240,'Эффекты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2029'!L14+'Китай 2029'!N14+('Китай 2029'!M14+'Китай 2029'!P14+'Китай 2029'!Q14)))</f>
        <v>9.8823390611572748</v>
      </c>
      <c r="M14" s="3">
        <f>MIN(1,(MIN(1,'Китай 2029'!M14+'Китай 2029'!P14+(0.1*LN(1+0.5*('Ход 2029'!H16*(1+'Эффекты технологий'!M$10)))*POWER(MAX(0,1-'Китай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9.8823390611572748</v>
      </c>
      <c r="T14" s="10">
        <f>SUMIFS('Эффекты технологий'!$N$25:$N$240,'Эффекты технологий'!$C$25:$C$240,$K14,'Эффекты технологий'!$D$25:$D$240,"Значение")</f>
        <v>0</v>
      </c>
      <c r="U14" s="3" t="s">
        <v>540</v>
      </c>
      <c r="V14" s="7">
        <f>'Китай 2029'!V14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2029'!B15+'Китай 2029'!D15+('Китай 2029'!C15+'Китай 2029'!F15+'Китай 2029'!G15)+(0.35*LN(1+0.6*('Ход 2029'!B21*(1+'Эффекты технологий'!M$12)))*POWER(MAX(0,1-'Китай 2029'!I15/10),0.7))))</f>
        <v>9.8999999999999986</v>
      </c>
      <c r="C15" s="3">
        <f>MIN(1,(MIN(1,'Китай 2029'!C15+'Китай 2029'!F15+(0.08*LN(1+0.5*('Ход 2029'!C21*(1+'Эффекты технологий'!M$12)))*MAX(0,1-('Китай 2029'!C15+'Китай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9.8999999999999986</v>
      </c>
      <c r="J15" s="10">
        <f>SUMIFS('Эффекты технологий'!$N$25:$N$240,'Эффекты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2029'!L15+'Китай 2029'!N15+('Китай 2029'!M15+'Китай 2029'!P15+'Китай 2029'!Q15)))</f>
        <v>9.5722501435877447</v>
      </c>
      <c r="M15" s="3">
        <f>MIN(1,(MIN(1,'Китай 2029'!M15+'Китай 2029'!P15+(0.1*LN(1+0.5*('Ход 2029'!H17*(1+'Эффекты технологий'!M$10)))*POWER(MAX(0,1-'Китай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9.5722501435877447</v>
      </c>
      <c r="T15" s="10">
        <f>SUMIFS('Эффекты технологий'!$N$25:$N$240,'Эффекты технологий'!$C$25:$C$240,$K15,'Эффекты технологий'!$D$25:$D$240,"Значение")</f>
        <v>0</v>
      </c>
      <c r="U15" s="3" t="s">
        <v>542</v>
      </c>
      <c r="V15" s="7">
        <f>'Китай 2029'!V15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2029'!B16+'Китай 2029'!D16+('Китай 2029'!C16+'Китай 2029'!F16+'Китай 2029'!G16)+(0.35*LN(1+0.6*('Ход 2029'!B22*(1+'Эффекты технологий'!M$12)))*POWER(MAX(0,1-'Китай 2029'!I16/10),0.7))))</f>
        <v>10</v>
      </c>
      <c r="C16" s="3">
        <f>MIN(1,(MIN(1,'Китай 2029'!C16+'Китай 2029'!F16+(0.08*LN(1+0.5*('Ход 2029'!C22*(1+'Эффекты технологий'!M$12)))*MAX(0,1-('Китай 2029'!C16+'Китай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технологий'!$N$25:$N$240,'Эффекты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2029'!L16+'Китай 2029'!N16+('Китай 2029'!M16+'Китай 2029'!P16+'Китай 2029'!Q16)))</f>
        <v>10</v>
      </c>
      <c r="M16" s="3">
        <f>MIN(1,(MIN(1,'Китай 2029'!M16+'Китай 2029'!P16+(0.1*LN(1+0.5*('Ход 2029'!H18*(1+'Эффекты технологий'!M$10)))*POWER(MAX(0,1-'Китай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технологий'!$N$25:$N$240,'Эффекты технологий'!$C$25:$C$240,$K16,'Эффекты технологий'!$D$25:$D$240,"Значение")</f>
        <v>0</v>
      </c>
      <c r="U16" s="3" t="s">
        <v>544</v>
      </c>
      <c r="V16" s="7">
        <f>'Китай 2029'!V16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2029'!B17+'Китай 2029'!D17+('Китай 2029'!C17+'Китай 2029'!F17+'Китай 2029'!G17)+(0.35*LN(1+0.6*('Ход 2029'!B23*(1+'Эффекты технологий'!M$12)))*POWER(MAX(0,1-'Китай 2029'!I17/10),0.7))))</f>
        <v>10</v>
      </c>
      <c r="C17" s="3">
        <f>MIN(1,(MIN(1,'Китай 2029'!C17+'Китай 2029'!F17+(0.08*LN(1+0.5*('Ход 2029'!C23*(1+'Эффекты технологий'!M$12)))*MAX(0,1-('Китай 2029'!C17+'Китай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технологий'!$N$25:$N$240,'Эффекты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2029'!L17+'Китай 2029'!N17+('Китай 2029'!M17+'Китай 2029'!P17+'Китай 2029'!Q17)))</f>
        <v>9.8999999999999986</v>
      </c>
      <c r="M17" s="3">
        <f>MIN(1,(MIN(1,'Китай 2029'!M17+'Китай 2029'!P17+(0.1*LN(1+0.5*('Ход 2029'!H19*(1+'Эффекты технологий'!M$10)))*POWER(MAX(0,1-'Китай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9.8999999999999986</v>
      </c>
      <c r="T17" s="10">
        <f>SUMIFS('Эффекты технологий'!$N$25:$N$240,'Эффекты технологий'!$C$25:$C$240,$K17,'Эффекты технологий'!$D$25:$D$240,"Значение")</f>
        <v>0</v>
      </c>
      <c r="U17" s="3" t="s">
        <v>546</v>
      </c>
      <c r="V17" s="7">
        <f>'Китай 2029'!V17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2029'!L18+'Китай 2029'!N18+('Китай 2029'!M18+'Китай 2029'!P18+'Китай 2029'!Q18)))</f>
        <v>9.8823390611572748</v>
      </c>
      <c r="M18" s="3">
        <f>MIN(1,(MIN(1,'Китай 2029'!M18+'Китай 2029'!P18+(0.1*LN(1+0.5*('Ход 2029'!H20*(1+'Эффекты технологий'!M$10)))*POWER(MAX(0,1-'Китай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9.8823390611572748</v>
      </c>
      <c r="T18" s="10">
        <f>SUMIFS('Эффекты технологий'!$N$25:$N$240,'Эффекты технологий'!$C$25:$C$240,$K18,'Эффекты технологий'!$D$25:$D$240,"Значение")</f>
        <v>0</v>
      </c>
      <c r="U18" s="3" t="s">
        <v>548</v>
      </c>
      <c r="V18" s="7">
        <f>'Китай 2029'!V18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2029'!B19+'Китай 2029'!D19+('Китай 2029'!C19+'Китай 2029'!F19+'Китай 2029'!G19)+(0.35*LN(1+0.6*'Ход 2029'!B25)*POWER(MAX(0,1-'Китай 2029'!I19/10),0.7))))</f>
        <v>9.0533200137544654</v>
      </c>
      <c r="C19" s="3">
        <f>MIN(1,(MIN(1,'Китай 2029'!C19+'Китай 2029'!F19+(0.08*LN(1+0.5*'Ход 2029'!C25)*MAX(0,1-('Китай 2029'!C19+'Китай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9.0533200137544654</v>
      </c>
      <c r="J19" s="10">
        <f>SUMIFS('Эффекты технологий'!$N$25:$N$240,'Эффекты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2029'!V19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2029'!B20+'Китай 2029'!D20+('Китай 2029'!C20+'Китай 2029'!F20+'Китай 2029'!G20)+(0.35*LN(1+0.6*'Ход 2029'!B26)*POWER(MAX(0,1-'Китай 2029'!I20/10),0.7))))</f>
        <v>9.6804906499574752</v>
      </c>
      <c r="C20" s="3">
        <f>MIN(1,(MIN(1,'Китай 2029'!C20+'Китай 2029'!F20+(0.08*LN(1+0.5*'Ход 2029'!C26)*MAX(0,1-('Китай 2029'!C20+'Китай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9.6804906499574752</v>
      </c>
      <c r="J20" s="10">
        <f>SUMIFS('Эффекты технологий'!$N$25:$N$240,'Эффекты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2029'!V20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2029'!B21+'Китай 2029'!D21+('Китай 2029'!C21+'Китай 2029'!F21+'Китай 2029'!G21)+(0.35*LN(1+0.6*'Ход 2029'!B27)*POWER(MAX(0,1-'Китай 2029'!I21/10),0.7))))</f>
        <v>9.7999999999999972</v>
      </c>
      <c r="C21" s="3">
        <f>MIN(1,(MIN(1,'Китай 2029'!C21+'Китай 2029'!F21+(0.08*LN(1+0.5*'Ход 2029'!C27)*MAX(0,1-('Китай 2029'!C21+'Китай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9.7999999999999972</v>
      </c>
      <c r="J21" s="10">
        <f>SUMIFS('Эффекты технологий'!$N$25:$N$240,'Эффекты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2029'!V21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2029'!B22+'Китай 2029'!D22+('Китай 2029'!C22+'Китай 2029'!F22+'Китай 2029'!G22)+(0.35*LN(1+0.6*'Ход 2029'!B28)*POWER(MAX(0,1-'Китай 2029'!I22/10),0.7))))</f>
        <v>10</v>
      </c>
      <c r="C22" s="3">
        <f>MIN(1,(MIN(1,'Китай 2029'!C22+'Китай 2029'!F22+(0.08*LN(1+0.5*'Ход 2029'!C28)*MAX(0,1-('Китай 2029'!C22+'Китай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технологий'!$N$25:$N$240,'Эффекты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2029'!V22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2029'!B23+'Китай 2029'!D23+('Китай 2029'!C23+'Китай 2029'!F23+'Китай 2029'!G23)+(0.35*LN(1+0.6*'Ход 2029'!B29)*POWER(MAX(0,1-'Китай 2029'!I23/10),0.7))))</f>
        <v>10</v>
      </c>
      <c r="C23" s="3">
        <f>MIN(1,(MIN(1,'Китай 2029'!C23+'Китай 2029'!F23+(0.08*LN(1+0.5*'Ход 2029'!C29)*MAX(0,1-('Китай 2029'!C23+'Китай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технологий'!$N$25:$N$240,'Эффекты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2029'!V23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2029'!V24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2029'!B25+'Китай 2029'!D25+('Китай 2029'!C25+'Китай 2029'!F25+'Китай 2029'!G25)+(0.35*LN(1+0.6*'Ход 2029'!B31)*POWER(MAX(0,1-'Китай 2029'!I25/10),0.7))))</f>
        <v>10</v>
      </c>
      <c r="C25" s="3">
        <f>MIN(1,(MIN(1,'Китай 2029'!C25+'Китай 2029'!F25+(0.08*LN(1+0.5*'Ход 2029'!C31)*MAX(0,1-('Китай 2029'!C25+'Китай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технологий'!$N$25:$N$240,'Эффекты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2029'!V25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2029'!B26+'Китай 2029'!D26+('Китай 2029'!C26+'Китай 2029'!F26+'Китай 2029'!G26)+(0.35*LN(1+0.6*'Ход 2029'!B32)*POWER(MAX(0,1-'Китай 2029'!I26/10),0.7))))</f>
        <v>10</v>
      </c>
      <c r="C26" s="3">
        <f>MIN(1,(MIN(1,'Китай 2029'!C26+'Китай 2029'!F26+(0.08*LN(1+0.5*'Ход 2029'!C32)*MAX(0,1-('Китай 2029'!C26+'Китай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технологий'!$N$25:$N$240,'Эффекты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2029'!V26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2029'!B27+'Китай 2029'!D27+('Китай 2029'!C27+'Китай 2029'!F27+'Китай 2029'!G27)+(0.35*LN(1+0.6*'Ход 2029'!B33)*POWER(MAX(0,1-'Китай 2029'!I27/10),0.7))))</f>
        <v>9.8999999999999986</v>
      </c>
      <c r="C27" s="3">
        <f>MIN(1,(MIN(1,'Китай 2029'!C27+'Китай 2029'!F27+(0.08*LN(1+0.5*'Ход 2029'!C33)*MAX(0,1-('Китай 2029'!C27+'Китай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9.8999999999999986</v>
      </c>
      <c r="J27" s="10">
        <f>SUMIFS('Эффекты технологий'!$N$25:$N$240,'Эффекты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2029'!B28+'Китай 2029'!D28+('Китай 2029'!C28+'Китай 2029'!F28+'Китай 2029'!G28)+(0.35*LN(1+0.6*'Ход 2029'!B34)*POWER(MAX(0,1-'Китай 2029'!I28/10),0.7))))</f>
        <v>10</v>
      </c>
      <c r="C28" s="3">
        <f>MIN(1,(MIN(1,'Китай 2029'!C28+'Китай 2029'!F28+(0.08*LN(1+0.5*'Ход 2029'!C34)*MAX(0,1-('Китай 2029'!C28+'Китай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технологий'!$N$25:$N$240,'Эффекты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2029'!B29+'Китай 2029'!D29+('Китай 2029'!C29+'Китай 2029'!F29+'Китай 2029'!G29)+(0.35*LN(1+0.6*'Ход 2029'!B35)*POWER(MAX(0,1-'Китай 2029'!I29/10),0.7))))</f>
        <v>9.5</v>
      </c>
      <c r="C29" s="3">
        <f>MIN(1,(MIN(1,'Китай 2029'!C29+'Китай 2029'!F29+(0.08*LN(1+0.5*'Ход 2029'!C35)*MAX(0,1-('Китай 2029'!C29+'Китай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9.5</v>
      </c>
      <c r="J29" s="10">
        <f>SUMIFS('Эффекты технологий'!$N$25:$N$240,'Эффекты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2029'!B30+'Китай 2029'!D30+('Китай 2029'!C30+'Китай 2029'!F30+'Китай 2029'!G30)+(0.35*LN(1+0.6*'Ход 2029'!B36)*POWER(MAX(0,1-'Китай 2029'!I30/10),0.7))))</f>
        <v>8.2999999999999989</v>
      </c>
      <c r="C30" s="3">
        <f>MIN(1,(MIN(1,'Китай 2029'!C30+'Китай 2029'!F30+(0.08*LN(1+0.5*'Ход 2029'!C36)*MAX(0,1-('Китай 2029'!C30+'Китай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8.2999999999999989</v>
      </c>
      <c r="J30" s="10">
        <f>SUMIFS('Эффекты технологий'!$N$25:$N$240,'Эффекты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2029'!B31+'Китай 2029'!D31+('Китай 2029'!C31+'Китай 2029'!F31+'Китай 2029'!G31)+(0.35*LN(1+0.6*'Ход 2029'!B37)*POWER(MAX(0,1-'Китай 2029'!I31/10),0.7))))</f>
        <v>7.9179453789244469</v>
      </c>
      <c r="C31" s="3">
        <f>MIN(1,(MIN(1,'Китай 2029'!C31+'Китай 2029'!F31+(0.08*LN(1+0.5*'Ход 2029'!C37)*MAX(0,1-('Китай 2029'!C31+'Китай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7.9179453789244469</v>
      </c>
      <c r="J31" s="10">
        <f>SUMIFS('Эффекты технологий'!$N$25:$N$240,'Эффекты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2029'!B32+'Китай 2029'!D32+('Китай 2029'!C32+'Китай 2029'!F32+'Китай 2029'!G32)+(0.35*LN(1+0.6*'Ход 2029'!B38)*POWER(MAX(0,1-'Китай 2029'!I32/10),0.7))))</f>
        <v>9.6000000000000014</v>
      </c>
      <c r="C32" s="3">
        <f>MIN(1,(MIN(1,'Китай 2029'!C32+'Китай 2029'!F32+(0.08*LN(1+0.5*'Ход 2029'!C38)*MAX(0,1-('Китай 2029'!C32+'Китай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9.6000000000000014</v>
      </c>
      <c r="J32" s="10">
        <f>SUMIFS('Эффекты технологий'!$N$25:$N$240,'Эффекты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2029'!B34+'Китай 2029'!D34+('Китай 2029'!C34+'Китай 2029'!F34+'Китай 2029'!G34)+(0.35*LN(1+0.6*'Ход 2029'!B40)*POWER(MAX(0,1-'Китай 2029'!I34/10),0.7))))</f>
        <v>10</v>
      </c>
      <c r="C34" s="3">
        <f>MIN(1,(MIN(1,'Китай 2029'!C34+'Китай 2029'!F34+(0.08*LN(1+0.5*'Ход 2029'!C40)*MAX(0,1-('Китай 2029'!C34+'Китай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технологий'!$N$25:$N$240,'Эффекты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2029'!B35+'Китай 2029'!D35+('Китай 2029'!C35+'Китай 2029'!F35+'Китай 2029'!G35)+(0.35*LN(1+0.6*'Ход 2029'!B41)*POWER(MAX(0,1-'Китай 2029'!I35/10),0.7))))</f>
        <v>10</v>
      </c>
      <c r="C35" s="3">
        <f>MIN(1,(MIN(1,'Китай 2029'!C35+'Китай 2029'!F35+(0.08*LN(1+0.5*'Ход 2029'!C41)*MAX(0,1-('Китай 2029'!C35+'Китай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технологий'!$N$25:$N$240,'Эффекты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2029'!B36+'Китай 2029'!D36+('Китай 2029'!C36+'Китай 2029'!F36+'Китай 2029'!G36)+(0.35*LN(1+0.6*'Ход 2029'!B42)*POWER(MAX(0,1-'Китай 2029'!I36/10),0.7))))</f>
        <v>10</v>
      </c>
      <c r="C36" s="3">
        <f>MIN(1,(MIN(1,'Китай 2029'!C36+'Китай 2029'!F36+(0.08*LN(1+0.5*'Ход 2029'!C42)*MAX(0,1-('Китай 2029'!C36+'Китай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технологий'!$N$25:$N$240,'Эффекты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2029'!B37+'Китай 2029'!D37+('Китай 2029'!C37+'Китай 2029'!F37+'Китай 2029'!G37)+(0.35*LN(1+0.6*'Ход 2029'!B43)*POWER(MAX(0,1-'Китай 2029'!I37/10),0.7))))</f>
        <v>10</v>
      </c>
      <c r="C37" s="3">
        <f>MIN(1,(MIN(1,'Китай 2029'!C37+'Китай 2029'!F37+(0.08*LN(1+0.5*'Ход 2029'!C43)*MAX(0,1-('Китай 2029'!C37+'Китай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технологий'!$N$25:$N$240,'Эффекты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2029'!B38+'Китай 2029'!D38+('Китай 2029'!C38+'Китай 2029'!F38+'Китай 2029'!G38)+(0.35*LN(1+0.6*'Ход 2029'!B44)*POWER(MAX(0,1-'Китай 2029'!I38/10),0.7))))</f>
        <v>9.8999999999999986</v>
      </c>
      <c r="C38" s="3">
        <f>MIN(1,(MIN(1,'Китай 2029'!C38+'Китай 2029'!F38+(0.08*LN(1+0.5*'Ход 2029'!C44)*MAX(0,1-('Китай 2029'!C38+'Китай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9.8999999999999986</v>
      </c>
      <c r="J38" s="10">
        <f>SUMIFS('Эффекты технологий'!$N$25:$N$240,'Эффекты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2029'!B39+'Китай 2029'!D39+('Китай 2029'!C39+'Китай 2029'!F39+'Китай 2029'!G39)+(0.35*LN(1+0.6*'Ход 2029'!B45)*POWER(MAX(0,1-'Китай 2029'!I39/10),0.7))))</f>
        <v>9.6000000000000014</v>
      </c>
      <c r="C39" s="3">
        <f>MIN(1,(MIN(1,'Китай 2029'!C39+'Китай 2029'!F39+(0.08*LN(1+0.5*'Ход 2029'!C45)*MAX(0,1-('Китай 2029'!C39+'Китай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9.6000000000000014</v>
      </c>
      <c r="J39" s="10">
        <f>SUMIFS('Эффекты технологий'!$N$25:$N$240,'Эффекты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2029'!B40+'Китай 2029'!D40+('Китай 2029'!C40+'Китай 2029'!F40+'Китай 2029'!G40)+(0.35*LN(1+0.6*'Ход 2029'!B46)*POWER(MAX(0,1-'Китай 2029'!I40/10),0.7))))</f>
        <v>9.3999999999999986</v>
      </c>
      <c r="C40" s="3">
        <f>MIN(1,(MIN(1,'Китай 2029'!C40+'Китай 2029'!F40+(0.08*LN(1+0.5*'Ход 2029'!C46)*MAX(0,1-('Китай 2029'!C40+'Китай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9.3999999999999986</v>
      </c>
      <c r="J40" s="10">
        <f>SUMIFS('Эффекты технологий'!$N$25:$N$240,'Эффекты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2029'!B41+'Китай 2029'!D41+('Китай 2029'!C41+'Китай 2029'!F41+'Китай 2029'!G41)+(0.35*LN(1+0.6*'Ход 2029'!B47)*POWER(MAX(0,1-'Китай 2029'!I41/10),0.7))))</f>
        <v>9.8999999999999986</v>
      </c>
      <c r="C41" s="3">
        <f>MIN(1,(MIN(1,'Китай 2029'!C41+'Китай 2029'!F41+(0.08*LN(1+0.5*'Ход 2029'!C47)*MAX(0,1-('Китай 2029'!C41+'Китай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9.8999999999999986</v>
      </c>
      <c r="J41" s="10">
        <f>SUMIFS('Эффекты технологий'!$N$25:$N$240,'Эффекты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2029'!B42+'Китай 2029'!D42+('Китай 2029'!C42+'Китай 2029'!F42+'Китай 2029'!G42)+(0.35*LN(1+0.6*'Ход 2029'!B48)*POWER(MAX(0,1-'Китай 2029'!I42/10),0.7))))</f>
        <v>10</v>
      </c>
      <c r="C42" s="3">
        <f>MIN(1,(MIN(1,'Китай 2029'!C42+'Китай 2029'!F42+(0.08*LN(1+0.5*'Ход 2029'!C48)*MAX(0,1-('Китай 2029'!C42+'Китай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технологий'!$N$25:$N$240,'Эффекты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2029'!B44+'Китай 2029'!D44+('Китай 2029'!C44+'Китай 2029'!F44+'Китай 2029'!G44)+(0.35*LN(1+0.6*'Ход 2029'!B50)*POWER(MAX(0,1-'Китай 2029'!I44/10),0.7))))</f>
        <v>8.5405304899511112</v>
      </c>
      <c r="C44" s="3">
        <f>MIN(1,(MIN(1,'Китай 2029'!C44+'Китай 2029'!F44+(0.08*LN(1+0.5*'Ход 2029'!C50)*MAX(0,1-('Китай 2029'!C44+'Китай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8.5405304899511112</v>
      </c>
      <c r="J44" s="10">
        <f>SUMIFS('Эффекты технологий'!$N$25:$N$240,'Эффекты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2029'!B45+'Китай 2029'!D45+('Китай 2029'!C45+'Китай 2029'!F45+'Китай 2029'!G45)+(0.35*LN(1+0.6*'Ход 2029'!B51)*POWER(MAX(0,1-'Китай 2029'!I45/10),0.7))))</f>
        <v>9.8999999999999986</v>
      </c>
      <c r="C45" s="3">
        <f>MIN(1,(MIN(1,'Китай 2029'!C45+'Китай 2029'!F45+(0.08*LN(1+0.5*'Ход 2029'!C51)*MAX(0,1-('Китай 2029'!C45+'Китай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9.8999999999999986</v>
      </c>
      <c r="J45" s="10">
        <f>SUMIFS('Эффекты технологий'!$N$25:$N$240,'Эффекты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2029'!B46+'Китай 2029'!D46+('Китай 2029'!C46+'Китай 2029'!F46+'Китай 2029'!G46)+(0.35*LN(1+0.6*'Ход 2029'!B52)*POWER(MAX(0,1-'Китай 2029'!I46/10),0.7))))</f>
        <v>9.8999999999999986</v>
      </c>
      <c r="C46" s="3">
        <f>MIN(1,(MIN(1,'Китай 2029'!C46+'Китай 2029'!F46+(0.08*LN(1+0.5*'Ход 2029'!C52)*MAX(0,1-('Китай 2029'!C46+'Китай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9.8999999999999986</v>
      </c>
      <c r="J46" s="10">
        <f>SUMIFS('Эффекты технологий'!$N$25:$N$240,'Эффекты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2029'!B47+'Китай 2029'!D47+('Китай 2029'!C47+'Китай 2029'!F47+'Китай 2029'!G47)+(0.35*LN(1+0.6*'Ход 2029'!B53)*POWER(MAX(0,1-'Китай 2029'!I47/10),0.7))))</f>
        <v>6.0730244998762064</v>
      </c>
      <c r="C47" s="3">
        <f>MIN(1,(MIN(1,'Китай 2029'!C47+'Китай 2029'!F47+(0.08*LN(1+0.5*'Ход 2029'!C53)*MAX(0,1-('Китай 2029'!C47+'Китай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6.0730244998762064</v>
      </c>
      <c r="J47" s="10">
        <f>SUMIFS('Эффекты технологий'!$N$25:$N$240,'Эффекты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2029'!B48+'Китай 2029'!D48+('Китай 2029'!C48+'Китай 2029'!F48+'Китай 2029'!G48)+(0.35*LN(1+0.6*'Ход 2029'!B54)*POWER(MAX(0,1-'Китай 2029'!I48/10),0.7))))</f>
        <v>8.7000000000000028</v>
      </c>
      <c r="C48" s="3">
        <f>MIN(1,(MIN(1,'Китай 2029'!C48+'Китай 2029'!F48+(0.08*LN(1+0.5*'Ход 2029'!C54)*MAX(0,1-('Китай 2029'!C48+'Китай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8.7000000000000028</v>
      </c>
      <c r="J48" s="10">
        <f>SUMIFS('Эффекты технологий'!$N$25:$N$240,'Эффекты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2029'!B49+'Китай 2029'!D49+('Китай 2029'!C49+'Китай 2029'!F49+'Китай 2029'!G49)+(0.35*LN(1+0.6*'Ход 2029'!B55)*POWER(MAX(0,1-'Китай 2029'!I49/10),0.7))))</f>
        <v>10</v>
      </c>
      <c r="C49" s="3">
        <f>MIN(1,(MIN(1,'Китай 2029'!C49+'Китай 2029'!F49+(0.08*LN(1+0.5*'Ход 2029'!C55)*MAX(0,1-('Китай 2029'!C49+'Китай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технологий'!$N$25:$N$240,'Эффекты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2029'!B50+'Китай 2029'!D50+('Китай 2029'!C50+'Китай 2029'!F50+'Китай 2029'!G50)+(0.35*LN(1+0.6*'Ход 2029'!B56)*POWER(MAX(0,1-'Китай 2029'!I50/10),0.7))))</f>
        <v>10</v>
      </c>
      <c r="C50" s="3">
        <f>MIN(1,(MIN(1,'Китай 2029'!C50+'Китай 2029'!F50+(0.08*LN(1+0.5*'Ход 2029'!C56)*MAX(0,1-('Китай 2029'!C50+'Китай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технологий'!$N$25:$N$240,'Эффекты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2029'!B51+'Китай 2029'!D51+('Китай 2029'!C51+'Китай 2029'!F51+'Китай 2029'!G51)+(0.35*LN(1+0.6*'Ход 2029'!B57)*POWER(MAX(0,1-'Китай 2029'!I51/10),0.7))))</f>
        <v>9.8999999999999986</v>
      </c>
      <c r="C51" s="3">
        <f>MIN(1,(MIN(1,'Китай 2029'!C51+'Китай 2029'!F51+(0.08*LN(1+0.5*'Ход 2029'!C57)*MAX(0,1-('Китай 2029'!C51+'Китай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9.8999999999999986</v>
      </c>
      <c r="J51" s="10">
        <f>SUMIFS('Эффекты технологий'!$N$25:$N$240,'Эффекты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2029'!B53+'Китай 2029'!D53+('Китай 2029'!C53+'Китай 2029'!F53+'Китай 2029'!G53)+(0.35*LN(1+0.6*'Ход 2029'!B59)*POWER(MAX(0,1-'Китай 2029'!I53/10),0.7))))</f>
        <v>10</v>
      </c>
      <c r="C53" s="3">
        <f>MIN(1,(MIN(1,'Китай 2029'!C53+'Китай 2029'!F53+(0.08*LN(1+0.5*'Ход 2029'!C59)*MAX(0,1-('Китай 2029'!C53+'Китай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технологий'!$N$25:$N$240,'Эффекты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2029'!B54+'Китай 2029'!D54+('Китай 2029'!C54+'Китай 2029'!F54+'Китай 2029'!G54)+(0.35*LN(1+0.6*'Ход 2029'!B60)*POWER(MAX(0,1-'Китай 2029'!I54/10),0.7))))</f>
        <v>9.8999999999999986</v>
      </c>
      <c r="C54" s="3">
        <f>MIN(1,(MIN(1,'Китай 2029'!C54+'Китай 2029'!F54+(0.08*LN(1+0.5*'Ход 2029'!C60)*MAX(0,1-('Китай 2029'!C54+'Китай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9.8999999999999986</v>
      </c>
      <c r="J54" s="10">
        <f>SUMIFS('Эффекты технологий'!$N$25:$N$240,'Эффекты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2029'!B55+'Китай 2029'!D55+('Китай 2029'!C55+'Китай 2029'!F55+'Китай 2029'!G55)+(0.35*LN(1+0.6*'Ход 2029'!B61)*POWER(MAX(0,1-'Китай 2029'!I55/10),0.7))))</f>
        <v>9.6000000000000014</v>
      </c>
      <c r="C55" s="3">
        <f>MIN(1,(MIN(1,'Китай 2029'!C55+'Китай 2029'!F55+(0.08*LN(1+0.5*'Ход 2029'!C61)*MAX(0,1-('Китай 2029'!C55+'Китай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9.6000000000000014</v>
      </c>
      <c r="J55" s="10">
        <f>SUMIFS('Эффекты технологий'!$N$25:$N$240,'Эффекты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352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2030'!U6</f>
        <v>99.533021552309179</v>
      </c>
      <c r="C6" s="3"/>
      <c r="D6" s="3"/>
      <c r="E6" s="3" t="s">
        <v>321</v>
      </c>
      <c r="F6" s="3">
        <f>'Китай 2030'!K6</f>
        <v>97.960651841149669</v>
      </c>
      <c r="G6" s="3"/>
      <c r="H6" s="3"/>
      <c r="I6" s="3" t="s">
        <v>321</v>
      </c>
      <c r="J6" s="3">
        <f>'Китай 2030'!N6</f>
        <v>99.415952648822042</v>
      </c>
      <c r="K6" s="3"/>
      <c r="L6" s="3"/>
      <c r="M6" s="3" t="s">
        <v>321</v>
      </c>
      <c r="N6" s="3">
        <f>'Китай 2030'!Q6</f>
        <v>84.056815596057689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99.533021552309179</v>
      </c>
      <c r="C8" s="3" t="str">
        <f>IF(B8&lt;0,"ПРЕВЫШЕНИЕ","OK")</f>
        <v>OK</v>
      </c>
      <c r="D8" s="3"/>
      <c r="E8" s="3" t="s">
        <v>323</v>
      </c>
      <c r="F8" s="3">
        <f>F6-F7</f>
        <v>97.960651841149669</v>
      </c>
      <c r="G8" s="3" t="str">
        <f>IF(F8&lt;0,"ПРЕВЫШЕНИЕ","OK")</f>
        <v>OK</v>
      </c>
      <c r="H8" s="3"/>
      <c r="I8" s="3" t="s">
        <v>323</v>
      </c>
      <c r="J8" s="3">
        <f>J6-J7</f>
        <v>99.415952648822042</v>
      </c>
      <c r="K8" s="3" t="str">
        <f>IF(J8&lt;0,"ПРЕВЫШЕНИЕ","OK")</f>
        <v>OK</v>
      </c>
      <c r="L8" s="3"/>
      <c r="M8" s="3" t="s">
        <v>323</v>
      </c>
      <c r="N8" s="3">
        <f>N6-N7</f>
        <v>84.056815596057689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2030'!V11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2030'!V12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2030'!V13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2030'!V14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2030'!V15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2030'!V16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2030'!V17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2030'!V18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2030'!V19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2030'!V20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2030'!V21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2030'!V22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технологий'!N$16</f>
        <v>0</v>
      </c>
      <c r="H25" s="11">
        <f>'Эффекты технологий'!N$17</f>
        <v>0</v>
      </c>
      <c r="I25" s="11">
        <f>'Эффекты технологий'!N$18</f>
        <v>0</v>
      </c>
      <c r="J25" s="12"/>
      <c r="K25" s="3"/>
      <c r="L25" s="3" t="s">
        <v>558</v>
      </c>
      <c r="M25" s="3">
        <f>'Китай 2030'!V23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2030'!V24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2030'!V25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2030'!V26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IF(G30="","",VLOOKUP(G30,Технологии!$A$11:$BF$50,48,FALSE))</f>
        <v/>
      </c>
      <c r="L30" s="3"/>
      <c r="M30" s="3"/>
      <c r="N30" s="12" t="s">
        <v>340</v>
      </c>
      <c r="O30" s="11">
        <f>'Эффекты технологий'!N$13</f>
        <v>0</v>
      </c>
      <c r="P30" s="11">
        <f>'Эффекты технологий'!N$14</f>
        <v>0</v>
      </c>
      <c r="Q30" s="11">
        <f>'Эффекты технологий'!N$15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570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98.454740366663941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99.7662996666092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84.791767878315454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99.815712024419952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2030'!B8+'Китай 2030'!D8+('Китай 2030'!C8+'Китай 2030'!F8+'Китай 2030'!G8)+(0.35*LN(1+0.6*('Ход 2030'!B14*(1+'Эффекты технологий'!N$12)))*POWER(MAX(0,1-'Китай 2030'!I8/10),0.7))))</f>
        <v>9.7500000000000036</v>
      </c>
      <c r="C8" s="3">
        <f>MIN(1,(MIN(1,'Китай 2030'!C8+'Китай 2030'!F8+(0.08*LN(1+0.5*('Ход 2030'!C14*(1+'Эффекты технологий'!N$12)))*MAX(0,1-('Китай 2030'!C8+'Китай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9.7500000000000036</v>
      </c>
      <c r="J8" s="10">
        <f>SUMIFS('Эффекты технологий'!$O$25:$O$240,'Эффекты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2030'!B9+'Китай 2030'!D9+('Китай 2030'!C9+'Китай 2030'!F9+'Китай 2030'!G9)+(0.35*LN(1+0.6*('Ход 2030'!B15*(1+'Эффекты технологий'!N$12)))*POWER(MAX(0,1-'Китай 2030'!I9/10),0.7))))</f>
        <v>9.9999999999999982</v>
      </c>
      <c r="C9" s="3">
        <f>MIN(1,(MIN(1,'Китай 2030'!C9+'Китай 2030'!F9+(0.08*LN(1+0.5*('Ход 2030'!C15*(1+'Эффекты технологий'!N$12)))*MAX(0,1-('Китай 2030'!C9+'Китай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9.9999999999999982</v>
      </c>
      <c r="J9" s="10">
        <f>SUMIFS('Эффекты технологий'!$O$25:$O$240,'Эффекты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2030'!B10+'Китай 2030'!D10+('Китай 2030'!C10+'Китай 2030'!F10+'Китай 2030'!G10)+(0.35*LN(1+0.6*('Ход 2030'!B16*(1+'Эффекты технологий'!N$12)))*POWER(MAX(0,1-'Китай 2030'!I10/10),0.7))))</f>
        <v>10</v>
      </c>
      <c r="C10" s="3">
        <f>MIN(1,(MIN(1,'Китай 2030'!C10+'Китай 2030'!F10+(0.08*LN(1+0.5*('Ход 2030'!C16*(1+'Эффекты технологий'!N$12)))*MAX(0,1-('Китай 2030'!C10+'Китай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технологий'!$O$25:$O$240,'Эффекты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2030'!B11+'Китай 2030'!D11+('Китай 2030'!C11+'Китай 2030'!F11+'Китай 2030'!G11)+(0.35*LN(1+0.6*('Ход 2030'!B17*(1+'Эффекты технологий'!N$12)))*POWER(MAX(0,1-'Китай 2030'!I11/10),0.7))))</f>
        <v>8.0639753297828491</v>
      </c>
      <c r="C11" s="3">
        <f>MIN(1,(MIN(1,'Китай 2030'!C11+'Китай 2030'!F11+(0.08*LN(1+0.5*('Ход 2030'!C17*(1+'Эффекты технологий'!N$12)))*MAX(0,1-('Китай 2030'!C11+'Китай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8.0639753297828491</v>
      </c>
      <c r="J11" s="10">
        <f>SUMIFS('Эффекты технологий'!$O$25:$O$240,'Эффекты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2030'!L11+'Китай 2030'!N11+('Китай 2030'!M11+'Китай 2030'!P11+'Китай 2030'!Q11)))</f>
        <v>10</v>
      </c>
      <c r="M11" s="3">
        <f>MIN(1,(MIN(1,'Китай 2030'!M11+'Китай 2030'!P11+(0.1*LN(1+0.5*('Ход 2030'!H13*(1+'Эффекты технологий'!N$10)))*POWER(MAX(0,1-'Китай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технологий'!$O$25:$O$240,'Эффекты технологий'!$C$25:$C$240,$K11,'Эффекты технологий'!$D$25:$D$240,"Значение")</f>
        <v>0</v>
      </c>
      <c r="U11" s="3" t="s">
        <v>534</v>
      </c>
      <c r="V11" s="7">
        <f>'Китай 2030'!V11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2030'!B12+'Китай 2030'!D12+('Китай 2030'!C12+'Китай 2030'!F12+'Китай 2030'!G12)+(0.35*LN(1+0.6*('Ход 2030'!B18*(1+'Эффекты технологий'!N$12)))*POWER(MAX(0,1-'Китай 2030'!I12/10),0.7))))</f>
        <v>9.2500000000000036</v>
      </c>
      <c r="C12" s="3">
        <f>MIN(1,(MIN(1,'Китай 2030'!C12+'Китай 2030'!F12+(0.08*LN(1+0.5*('Ход 2030'!C18*(1+'Эффекты технологий'!N$12)))*MAX(0,1-('Китай 2030'!C12+'Китай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9.2500000000000036</v>
      </c>
      <c r="J12" s="10">
        <f>SUMIFS('Эффекты технологий'!$O$25:$O$240,'Эффекты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2030'!L12+'Китай 2030'!N12+('Китай 2030'!M12+'Китай 2030'!P12+'Китай 2030'!Q12)))</f>
        <v>10</v>
      </c>
      <c r="M12" s="3">
        <f>MIN(1,(MIN(1,'Китай 2030'!M12+'Китай 2030'!P12+(0.1*LN(1+0.5*('Ход 2030'!H14*(1+'Эффекты технологий'!N$10)))*POWER(MAX(0,1-'Китай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технологий'!$O$25:$O$240,'Эффекты технологий'!$C$25:$C$240,$K12,'Эффекты технологий'!$D$25:$D$240,"Значение")</f>
        <v>0</v>
      </c>
      <c r="U12" s="3" t="s">
        <v>536</v>
      </c>
      <c r="V12" s="7">
        <f>'Китай 2030'!V12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2030'!B13+'Китай 2030'!D13+('Китай 2030'!C13+'Китай 2030'!F13+'Китай 2030'!G13)+(0.35*LN(1+0.6*('Ход 2030'!B19*(1+'Эффекты технологий'!N$12)))*POWER(MAX(0,1-'Китай 2030'!I13/10),0.7))))</f>
        <v>10</v>
      </c>
      <c r="C13" s="3">
        <f>MIN(1,(MIN(1,'Китай 2030'!C13+'Китай 2030'!F13+(0.08*LN(1+0.5*('Ход 2030'!C19*(1+'Эффекты технологий'!N$12)))*MAX(0,1-('Китай 2030'!C13+'Китай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технологий'!$O$25:$O$240,'Эффекты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2030'!L13+'Китай 2030'!N13+('Китай 2030'!M13+'Китай 2030'!P13+'Китай 2030'!Q13)))</f>
        <v>10</v>
      </c>
      <c r="M13" s="3">
        <f>MIN(1,(MIN(1,'Китай 2030'!M13+'Китай 2030'!P13+(0.1*LN(1+0.5*('Ход 2030'!H15*(1+'Эффекты технологий'!N$10)))*POWER(MAX(0,1-'Китай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технологий'!$O$25:$O$240,'Эффекты технологий'!$C$25:$C$240,$K13,'Эффекты технологий'!$D$25:$D$240,"Значение")</f>
        <v>0</v>
      </c>
      <c r="U13" s="3" t="s">
        <v>538</v>
      </c>
      <c r="V13" s="7">
        <f>'Китай 2030'!V13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2030'!B14+'Китай 2030'!D14+('Китай 2030'!C14+'Китай 2030'!F14+'Китай 2030'!G14)+(0.35*LN(1+0.6*('Ход 2030'!B20*(1+'Эффекты технологий'!N$12)))*POWER(MAX(0,1-'Китай 2030'!I14/10),0.7))))</f>
        <v>10</v>
      </c>
      <c r="C14" s="3">
        <f>MIN(1,(MIN(1,'Китай 2030'!C14+'Китай 2030'!F14+(0.08*LN(1+0.5*('Ход 2030'!C20*(1+'Эффекты технологий'!N$12)))*MAX(0,1-('Китай 2030'!C14+'Китай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технологий'!$O$25:$O$240,'Эффекты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2030'!L14+'Китай 2030'!N14+('Китай 2030'!M14+'Китай 2030'!P14+'Китай 2030'!Q14)))</f>
        <v>10</v>
      </c>
      <c r="M14" s="3">
        <f>MIN(1,(MIN(1,'Китай 2030'!M14+'Китай 2030'!P14+(0.1*LN(1+0.5*('Ход 2030'!H16*(1+'Эффекты технологий'!N$10)))*POWER(MAX(0,1-'Китай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технологий'!$O$25:$O$240,'Эффекты технологий'!$C$25:$C$240,$K14,'Эффекты технологий'!$D$25:$D$240,"Значение")</f>
        <v>0</v>
      </c>
      <c r="U14" s="3" t="s">
        <v>540</v>
      </c>
      <c r="V14" s="7">
        <f>'Китай 2030'!V14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2030'!B15+'Китай 2030'!D15+('Китай 2030'!C15+'Китай 2030'!F15+'Китай 2030'!G15)+(0.35*LN(1+0.6*('Ход 2030'!B21*(1+'Эффекты технологий'!N$12)))*POWER(MAX(0,1-'Китай 2030'!I15/10),0.7))))</f>
        <v>10</v>
      </c>
      <c r="C15" s="3">
        <f>MIN(1,(MIN(1,'Китай 2030'!C15+'Китай 2030'!F15+(0.08*LN(1+0.5*('Ход 2030'!C21*(1+'Эффекты технологий'!N$12)))*MAX(0,1-('Китай 2030'!C15+'Китай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технологий'!$O$25:$O$240,'Эффекты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2030'!L15+'Китай 2030'!N15+('Китай 2030'!M15+'Китай 2030'!P15+'Китай 2030'!Q15)))</f>
        <v>9.8463335247836596</v>
      </c>
      <c r="M15" s="3">
        <f>MIN(1,(MIN(1,'Китай 2030'!M15+'Китай 2030'!P15+(0.1*LN(1+0.5*('Ход 2030'!H17*(1+'Эффекты технологий'!N$10)))*POWER(MAX(0,1-'Китай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9.8463335247836596</v>
      </c>
      <c r="T15" s="10">
        <f>SUMIFS('Эффекты технологий'!$O$25:$O$240,'Эффекты технологий'!$C$25:$C$240,$K15,'Эффекты технологий'!$D$25:$D$240,"Значение")</f>
        <v>0</v>
      </c>
      <c r="U15" s="3" t="s">
        <v>542</v>
      </c>
      <c r="V15" s="7">
        <f>'Китай 2030'!V15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2030'!B16+'Китай 2030'!D16+('Китай 2030'!C16+'Китай 2030'!F16+'Китай 2030'!G16)+(0.35*LN(1+0.6*('Ход 2030'!B22*(1+'Эффекты технологий'!N$12)))*POWER(MAX(0,1-'Китай 2030'!I16/10),0.7))))</f>
        <v>10</v>
      </c>
      <c r="C16" s="3">
        <f>MIN(1,(MIN(1,'Китай 2030'!C16+'Китай 2030'!F16+(0.08*LN(1+0.5*('Ход 2030'!C22*(1+'Эффекты технологий'!N$12)))*MAX(0,1-('Китай 2030'!C16+'Китай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технологий'!$O$25:$O$240,'Эффекты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2030'!L16+'Китай 2030'!N16+('Китай 2030'!M16+'Китай 2030'!P16+'Китай 2030'!Q16)))</f>
        <v>10</v>
      </c>
      <c r="M16" s="3">
        <f>MIN(1,(MIN(1,'Китай 2030'!M16+'Китай 2030'!P16+(0.1*LN(1+0.5*('Ход 2030'!H18*(1+'Эффекты технологий'!N$10)))*POWER(MAX(0,1-'Китай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технологий'!$O$25:$O$240,'Эффекты технологий'!$C$25:$C$240,$K16,'Эффекты технологий'!$D$25:$D$240,"Значение")</f>
        <v>0</v>
      </c>
      <c r="U16" s="3" t="s">
        <v>544</v>
      </c>
      <c r="V16" s="7">
        <f>'Китай 2030'!V16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2030'!B17+'Китай 2030'!D17+('Китай 2030'!C17+'Китай 2030'!F17+'Китай 2030'!G17)+(0.35*LN(1+0.6*('Ход 2030'!B23*(1+'Эффекты технологий'!N$12)))*POWER(MAX(0,1-'Китай 2030'!I17/10),0.7))))</f>
        <v>10</v>
      </c>
      <c r="C17" s="3">
        <f>MIN(1,(MIN(1,'Китай 2030'!C17+'Китай 2030'!F17+(0.08*LN(1+0.5*('Ход 2030'!C23*(1+'Эффекты технологий'!N$12)))*MAX(0,1-('Китай 2030'!C17+'Китай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технологий'!$O$25:$O$240,'Эффекты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2030'!L17+'Китай 2030'!N17+('Китай 2030'!M17+'Китай 2030'!P17+'Китай 2030'!Q17)))</f>
        <v>10</v>
      </c>
      <c r="M17" s="3">
        <f>MIN(1,(MIN(1,'Китай 2030'!M17+'Китай 2030'!P17+(0.1*LN(1+0.5*('Ход 2030'!H19*(1+'Эффекты технологий'!N$10)))*POWER(MAX(0,1-'Китай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технологий'!$O$25:$O$240,'Эффекты технологий'!$C$25:$C$240,$K17,'Эффекты технологий'!$D$25:$D$240,"Значение")</f>
        <v>0</v>
      </c>
      <c r="U17" s="3" t="s">
        <v>546</v>
      </c>
      <c r="V17" s="7">
        <f>'Китай 2030'!V17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2030'!L18+'Китай 2030'!N18+('Китай 2030'!M18+'Китай 2030'!P18+'Китай 2030'!Q18)))</f>
        <v>10</v>
      </c>
      <c r="M18" s="3">
        <f>MIN(1,(MIN(1,'Китай 2030'!M18+'Китай 2030'!P18+(0.1*LN(1+0.5*('Ход 2030'!H20*(1+'Эффекты технологий'!N$10)))*POWER(MAX(0,1-'Китай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технологий'!$O$25:$O$240,'Эффекты технологий'!$C$25:$C$240,$K18,'Эффекты технологий'!$D$25:$D$240,"Значение")</f>
        <v>0</v>
      </c>
      <c r="U18" s="3" t="s">
        <v>548</v>
      </c>
      <c r="V18" s="7">
        <f>'Китай 2030'!V18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2030'!B19+'Китай 2030'!D19+('Китай 2030'!C19+'Китай 2030'!F19+'Китай 2030'!G19)+(0.35*LN(1+0.6*'Ход 2030'!B25)*POWER(MAX(0,1-'Китай 2030'!I19/10),0.7))))</f>
        <v>9.3033200137544654</v>
      </c>
      <c r="C19" s="3">
        <f>MIN(1,(MIN(1,'Китай 2030'!C19+'Китай 2030'!F19+(0.08*LN(1+0.5*'Ход 2030'!C25)*MAX(0,1-('Китай 2030'!C19+'Китай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9.3033200137544654</v>
      </c>
      <c r="J19" s="10">
        <f>SUMIFS('Эффекты технологий'!$O$25:$O$240,'Эффекты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2030'!V19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2030'!B20+'Китай 2030'!D20+('Китай 2030'!C20+'Китай 2030'!F20+'Китай 2030'!G20)+(0.35*LN(1+0.6*'Ход 2030'!B26)*POWER(MAX(0,1-'Китай 2030'!I20/10),0.7))))</f>
        <v>9.9304906499574752</v>
      </c>
      <c r="C20" s="3">
        <f>MIN(1,(MIN(1,'Китай 2030'!C20+'Китай 2030'!F20+(0.08*LN(1+0.5*'Ход 2030'!C26)*MAX(0,1-('Китай 2030'!C20+'Китай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9.9304906499574752</v>
      </c>
      <c r="J20" s="10">
        <f>SUMIFS('Эффекты технологий'!$O$25:$O$240,'Эффекты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2030'!V20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2030'!B21+'Китай 2030'!D21+('Китай 2030'!C21+'Китай 2030'!F21+'Китай 2030'!G21)+(0.35*LN(1+0.6*'Ход 2030'!B27)*POWER(MAX(0,1-'Китай 2030'!I21/10),0.7))))</f>
        <v>9.9999999999999964</v>
      </c>
      <c r="C21" s="3">
        <f>MIN(1,(MIN(1,'Китай 2030'!C21+'Китай 2030'!F21+(0.08*LN(1+0.5*'Ход 2030'!C27)*MAX(0,1-('Китай 2030'!C21+'Китай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9.9999999999999964</v>
      </c>
      <c r="J21" s="10">
        <f>SUMIFS('Эффекты технологий'!$O$25:$O$240,'Эффекты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2030'!V21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2030'!B22+'Китай 2030'!D22+('Китай 2030'!C22+'Китай 2030'!F22+'Китай 2030'!G22)+(0.35*LN(1+0.6*'Ход 2030'!B28)*POWER(MAX(0,1-'Китай 2030'!I22/10),0.7))))</f>
        <v>10</v>
      </c>
      <c r="C22" s="3">
        <f>MIN(1,(MIN(1,'Китай 2030'!C22+'Китай 2030'!F22+(0.08*LN(1+0.5*'Ход 2030'!C28)*MAX(0,1-('Китай 2030'!C22+'Китай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технологий'!$O$25:$O$240,'Эффекты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2030'!V22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2030'!B23+'Китай 2030'!D23+('Китай 2030'!C23+'Китай 2030'!F23+'Китай 2030'!G23)+(0.35*LN(1+0.6*'Ход 2030'!B29)*POWER(MAX(0,1-'Китай 2030'!I23/10),0.7))))</f>
        <v>10</v>
      </c>
      <c r="C23" s="3">
        <f>MIN(1,(MIN(1,'Китай 2030'!C23+'Китай 2030'!F23+(0.08*LN(1+0.5*'Ход 2030'!C29)*MAX(0,1-('Китай 2030'!C23+'Китай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технологий'!$O$25:$O$240,'Эффекты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2030'!V23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2030'!V24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2030'!B25+'Китай 2030'!D25+('Китай 2030'!C25+'Китай 2030'!F25+'Китай 2030'!G25)+(0.35*LN(1+0.6*'Ход 2030'!B31)*POWER(MAX(0,1-'Китай 2030'!I25/10),0.7))))</f>
        <v>10</v>
      </c>
      <c r="C25" s="3">
        <f>MIN(1,(MIN(1,'Китай 2030'!C25+'Китай 2030'!F25+(0.08*LN(1+0.5*'Ход 2030'!C31)*MAX(0,1-('Китай 2030'!C25+'Китай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технологий'!$O$25:$O$240,'Эффекты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2030'!V25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2030'!B26+'Китай 2030'!D26+('Китай 2030'!C26+'Китай 2030'!F26+'Китай 2030'!G26)+(0.35*LN(1+0.6*'Ход 2030'!B32)*POWER(MAX(0,1-'Китай 2030'!I26/10),0.7))))</f>
        <v>10</v>
      </c>
      <c r="C26" s="3">
        <f>MIN(1,(MIN(1,'Китай 2030'!C26+'Китай 2030'!F26+(0.08*LN(1+0.5*'Ход 2030'!C32)*MAX(0,1-('Китай 2030'!C26+'Китай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технологий'!$O$25:$O$240,'Эффекты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2030'!V26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2030'!B27+'Китай 2030'!D27+('Китай 2030'!C27+'Китай 2030'!F27+'Китай 2030'!G27)+(0.35*LN(1+0.6*'Ход 2030'!B33)*POWER(MAX(0,1-'Китай 2030'!I27/10),0.7))))</f>
        <v>9.9999999999999982</v>
      </c>
      <c r="C27" s="3">
        <f>MIN(1,(MIN(1,'Китай 2030'!C27+'Китай 2030'!F27+(0.08*LN(1+0.5*'Ход 2030'!C33)*MAX(0,1-('Китай 2030'!C27+'Китай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9.9999999999999982</v>
      </c>
      <c r="J27" s="10">
        <f>SUMIFS('Эффекты технологий'!$O$25:$O$240,'Эффекты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2030'!B28+'Китай 2030'!D28+('Китай 2030'!C28+'Китай 2030'!F28+'Китай 2030'!G28)+(0.35*LN(1+0.6*'Ход 2030'!B34)*POWER(MAX(0,1-'Китай 2030'!I28/10),0.7))))</f>
        <v>10</v>
      </c>
      <c r="C28" s="3">
        <f>MIN(1,(MIN(1,'Китай 2030'!C28+'Китай 2030'!F28+(0.08*LN(1+0.5*'Ход 2030'!C34)*MAX(0,1-('Китай 2030'!C28+'Китай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технологий'!$O$25:$O$240,'Эффекты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2030'!B29+'Китай 2030'!D29+('Китай 2030'!C29+'Китай 2030'!F29+'Китай 2030'!G29)+(0.35*LN(1+0.6*'Ход 2030'!B35)*POWER(MAX(0,1-'Китай 2030'!I29/10),0.7))))</f>
        <v>9.75</v>
      </c>
      <c r="C29" s="3">
        <f>MIN(1,(MIN(1,'Китай 2030'!C29+'Китай 2030'!F29+(0.08*LN(1+0.5*'Ход 2030'!C35)*MAX(0,1-('Китай 2030'!C29+'Китай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9.75</v>
      </c>
      <c r="J29" s="10">
        <f>SUMIFS('Эффекты технологий'!$O$25:$O$240,'Эффекты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2030'!B30+'Китай 2030'!D30+('Китай 2030'!C30+'Китай 2030'!F30+'Китай 2030'!G30)+(0.35*LN(1+0.6*'Ход 2030'!B36)*POWER(MAX(0,1-'Китай 2030'!I30/10),0.7))))</f>
        <v>8.4999999999999982</v>
      </c>
      <c r="C30" s="3">
        <f>MIN(1,(MIN(1,'Китай 2030'!C30+'Китай 2030'!F30+(0.08*LN(1+0.5*'Ход 2030'!C36)*MAX(0,1-('Китай 2030'!C30+'Китай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8.4999999999999982</v>
      </c>
      <c r="J30" s="10">
        <f>SUMIFS('Эффекты технологий'!$O$25:$O$240,'Эффекты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2030'!B31+'Китай 2030'!D31+('Китай 2030'!C31+'Китай 2030'!F31+'Китай 2030'!G31)+(0.35*LN(1+0.6*'Ход 2030'!B37)*POWER(MAX(0,1-'Китай 2030'!I31/10),0.7))))</f>
        <v>8.1905938385659294</v>
      </c>
      <c r="C31" s="3">
        <f>MIN(1,(MIN(1,'Китай 2030'!C31+'Китай 2030'!F31+(0.08*LN(1+0.5*'Ход 2030'!C37)*MAX(0,1-('Китай 2030'!C31+'Китай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8.1905938385659294</v>
      </c>
      <c r="J31" s="10">
        <f>SUMIFS('Эффекты технологий'!$O$25:$O$240,'Эффекты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2030'!B32+'Китай 2030'!D32+('Китай 2030'!C32+'Китай 2030'!F32+'Китай 2030'!G32)+(0.35*LN(1+0.6*'Ход 2030'!B38)*POWER(MAX(0,1-'Китай 2030'!I32/10),0.7))))</f>
        <v>9.7500000000000018</v>
      </c>
      <c r="C32" s="3">
        <f>MIN(1,(MIN(1,'Китай 2030'!C32+'Китай 2030'!F32+(0.08*LN(1+0.5*'Ход 2030'!C38)*MAX(0,1-('Китай 2030'!C32+'Китай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9.7500000000000018</v>
      </c>
      <c r="J32" s="10">
        <f>SUMIFS('Эффекты технологий'!$O$25:$O$240,'Эффекты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2030'!B34+'Китай 2030'!D34+('Китай 2030'!C34+'Китай 2030'!F34+'Китай 2030'!G34)+(0.35*LN(1+0.6*'Ход 2030'!B40)*POWER(MAX(0,1-'Китай 2030'!I34/10),0.7))))</f>
        <v>10</v>
      </c>
      <c r="C34" s="3">
        <f>MIN(1,(MIN(1,'Китай 2030'!C34+'Китай 2030'!F34+(0.08*LN(1+0.5*'Ход 2030'!C40)*MAX(0,1-('Китай 2030'!C34+'Китай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технологий'!$O$25:$O$240,'Эффекты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2030'!B35+'Китай 2030'!D35+('Китай 2030'!C35+'Китай 2030'!F35+'Китай 2030'!G35)+(0.35*LN(1+0.6*'Ход 2030'!B41)*POWER(MAX(0,1-'Китай 2030'!I35/10),0.7))))</f>
        <v>10</v>
      </c>
      <c r="C35" s="3">
        <f>MIN(1,(MIN(1,'Китай 2030'!C35+'Китай 2030'!F35+(0.08*LN(1+0.5*'Ход 2030'!C41)*MAX(0,1-('Китай 2030'!C35+'Китай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технологий'!$O$25:$O$240,'Эффекты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2030'!B36+'Китай 2030'!D36+('Китай 2030'!C36+'Китай 2030'!F36+'Китай 2030'!G36)+(0.35*LN(1+0.6*'Ход 2030'!B42)*POWER(MAX(0,1-'Китай 2030'!I36/10),0.7))))</f>
        <v>10</v>
      </c>
      <c r="C36" s="3">
        <f>MIN(1,(MIN(1,'Китай 2030'!C36+'Китай 2030'!F36+(0.08*LN(1+0.5*'Ход 2030'!C42)*MAX(0,1-('Китай 2030'!C36+'Китай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технологий'!$O$25:$O$240,'Эффекты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2030'!B37+'Китай 2030'!D37+('Китай 2030'!C37+'Китай 2030'!F37+'Китай 2030'!G37)+(0.35*LN(1+0.6*'Ход 2030'!B43)*POWER(MAX(0,1-'Китай 2030'!I37/10),0.7))))</f>
        <v>10</v>
      </c>
      <c r="C37" s="3">
        <f>MIN(1,(MIN(1,'Китай 2030'!C37+'Китай 2030'!F37+(0.08*LN(1+0.5*'Ход 2030'!C43)*MAX(0,1-('Китай 2030'!C37+'Китай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технологий'!$O$25:$O$240,'Эффекты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2030'!B38+'Китай 2030'!D38+('Китай 2030'!C38+'Китай 2030'!F38+'Китай 2030'!G38)+(0.35*LN(1+0.6*'Ход 2030'!B44)*POWER(MAX(0,1-'Китай 2030'!I38/10),0.7))))</f>
        <v>9.9999999999999982</v>
      </c>
      <c r="C38" s="3">
        <f>MIN(1,(MIN(1,'Китай 2030'!C38+'Китай 2030'!F38+(0.08*LN(1+0.5*'Ход 2030'!C44)*MAX(0,1-('Китай 2030'!C38+'Китай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9.9999999999999982</v>
      </c>
      <c r="J38" s="10">
        <f>SUMIFS('Эффекты технологий'!$O$25:$O$240,'Эффекты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2030'!B39+'Китай 2030'!D39+('Китай 2030'!C39+'Китай 2030'!F39+'Китай 2030'!G39)+(0.35*LN(1+0.6*'Ход 2030'!B45)*POWER(MAX(0,1-'Китай 2030'!I39/10),0.7))))</f>
        <v>9.7500000000000018</v>
      </c>
      <c r="C39" s="3">
        <f>MIN(1,(MIN(1,'Китай 2030'!C39+'Китай 2030'!F39+(0.08*LN(1+0.5*'Ход 2030'!C45)*MAX(0,1-('Китай 2030'!C39+'Китай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9.7500000000000018</v>
      </c>
      <c r="J39" s="10">
        <f>SUMIFS('Эффекты технологий'!$O$25:$O$240,'Эффекты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2030'!B40+'Китай 2030'!D40+('Китай 2030'!C40+'Китай 2030'!F40+'Китай 2030'!G40)+(0.35*LN(1+0.6*'Ход 2030'!B46)*POWER(MAX(0,1-'Китай 2030'!I40/10),0.7))))</f>
        <v>9.4999999999999982</v>
      </c>
      <c r="C40" s="3">
        <f>MIN(1,(MIN(1,'Китай 2030'!C40+'Китай 2030'!F40+(0.08*LN(1+0.5*'Ход 2030'!C46)*MAX(0,1-('Китай 2030'!C40+'Китай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9.4999999999999982</v>
      </c>
      <c r="J40" s="10">
        <f>SUMIFS('Эффекты технологий'!$O$25:$O$240,'Эффекты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2030'!B41+'Китай 2030'!D41+('Китай 2030'!C41+'Китай 2030'!F41+'Китай 2030'!G41)+(0.35*LN(1+0.6*'Ход 2030'!B47)*POWER(MAX(0,1-'Китай 2030'!I41/10),0.7))))</f>
        <v>9.9999999999999982</v>
      </c>
      <c r="C41" s="3">
        <f>MIN(1,(MIN(1,'Китай 2030'!C41+'Китай 2030'!F41+(0.08*LN(1+0.5*'Ход 2030'!C47)*MAX(0,1-('Китай 2030'!C41+'Китай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9.9999999999999982</v>
      </c>
      <c r="J41" s="10">
        <f>SUMIFS('Эффекты технологий'!$O$25:$O$240,'Эффекты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2030'!B42+'Китай 2030'!D42+('Китай 2030'!C42+'Китай 2030'!F42+'Китай 2030'!G42)+(0.35*LN(1+0.6*'Ход 2030'!B48)*POWER(MAX(0,1-'Китай 2030'!I42/10),0.7))))</f>
        <v>10</v>
      </c>
      <c r="C42" s="3">
        <f>MIN(1,(MIN(1,'Китай 2030'!C42+'Китай 2030'!F42+(0.08*LN(1+0.5*'Ход 2030'!C48)*MAX(0,1-('Китай 2030'!C42+'Китай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технологий'!$O$25:$O$240,'Эффекты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2030'!B44+'Китай 2030'!D44+('Китай 2030'!C44+'Китай 2030'!F44+'Китай 2030'!G44)+(0.35*LN(1+0.6*'Ход 2030'!B50)*POWER(MAX(0,1-'Китай 2030'!I44/10),0.7))))</f>
        <v>8.8207073199348152</v>
      </c>
      <c r="C44" s="3">
        <f>MIN(1,(MIN(1,'Китай 2030'!C44+'Китай 2030'!F44+(0.08*LN(1+0.5*'Ход 2030'!C50)*MAX(0,1-('Китай 2030'!C44+'Китай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8.8207073199348152</v>
      </c>
      <c r="J44" s="10">
        <f>SUMIFS('Эффекты технологий'!$O$25:$O$240,'Эффекты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2030'!B45+'Китай 2030'!D45+('Китай 2030'!C45+'Китай 2030'!F45+'Китай 2030'!G45)+(0.35*LN(1+0.6*'Ход 2030'!B51)*POWER(MAX(0,1-'Китай 2030'!I45/10),0.7))))</f>
        <v>9.9999999999999982</v>
      </c>
      <c r="C45" s="3">
        <f>MIN(1,(MIN(1,'Китай 2030'!C45+'Китай 2030'!F45+(0.08*LN(1+0.5*'Ход 2030'!C51)*MAX(0,1-('Китай 2030'!C45+'Китай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9.9999999999999982</v>
      </c>
      <c r="J45" s="10">
        <f>SUMIFS('Эффекты технологий'!$O$25:$O$240,'Эффекты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2030'!B46+'Китай 2030'!D46+('Китай 2030'!C46+'Китай 2030'!F46+'Китай 2030'!G46)+(0.35*LN(1+0.6*'Ход 2030'!B52)*POWER(MAX(0,1-'Китай 2030'!I46/10),0.7))))</f>
        <v>9.9999999999999982</v>
      </c>
      <c r="C46" s="3">
        <f>MIN(1,(MIN(1,'Китай 2030'!C46+'Китай 2030'!F46+(0.08*LN(1+0.5*'Ход 2030'!C52)*MAX(0,1-('Китай 2030'!C46+'Китай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9.9999999999999982</v>
      </c>
      <c r="J46" s="10">
        <f>SUMIFS('Эффекты технологий'!$O$25:$O$240,'Эффекты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2030'!B47+'Китай 2030'!D47+('Китай 2030'!C47+'Китай 2030'!F47+'Китай 2030'!G47)+(0.35*LN(1+0.6*'Ход 2030'!B53)*POWER(MAX(0,1-'Китай 2030'!I47/10),0.7))))</f>
        <v>6.1306993331682751</v>
      </c>
      <c r="C47" s="3">
        <f>MIN(1,(MIN(1,'Китай 2030'!C47+'Китай 2030'!F47+(0.08*LN(1+0.5*'Ход 2030'!C53)*MAX(0,1-('Китай 2030'!C47+'Китай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6.1306993331682751</v>
      </c>
      <c r="J47" s="10">
        <f>SUMIFS('Эффекты технологий'!$O$25:$O$240,'Эффекты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2030'!B48+'Китай 2030'!D48+('Китай 2030'!C48+'Китай 2030'!F48+'Китай 2030'!G48)+(0.35*LN(1+0.6*'Ход 2030'!B54)*POWER(MAX(0,1-'Китай 2030'!I48/10),0.7))))</f>
        <v>8.7500000000000036</v>
      </c>
      <c r="C48" s="3">
        <f>MIN(1,(MIN(1,'Китай 2030'!C48+'Китай 2030'!F48+(0.08*LN(1+0.5*'Ход 2030'!C54)*MAX(0,1-('Китай 2030'!C48+'Китай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8.7500000000000036</v>
      </c>
      <c r="J48" s="10">
        <f>SUMIFS('Эффекты технологий'!$O$25:$O$240,'Эффекты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2030'!B49+'Китай 2030'!D49+('Китай 2030'!C49+'Китай 2030'!F49+'Китай 2030'!G49)+(0.35*LN(1+0.6*'Ход 2030'!B55)*POWER(MAX(0,1-'Китай 2030'!I49/10),0.7))))</f>
        <v>10</v>
      </c>
      <c r="C49" s="3">
        <f>MIN(1,(MIN(1,'Китай 2030'!C49+'Китай 2030'!F49+(0.08*LN(1+0.5*'Ход 2030'!C55)*MAX(0,1-('Китай 2030'!C49+'Китай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технологий'!$O$25:$O$240,'Эффекты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2030'!B50+'Китай 2030'!D50+('Китай 2030'!C50+'Китай 2030'!F50+'Китай 2030'!G50)+(0.35*LN(1+0.6*'Ход 2030'!B56)*POWER(MAX(0,1-'Китай 2030'!I50/10),0.7))))</f>
        <v>10</v>
      </c>
      <c r="C50" s="3">
        <f>MIN(1,(MIN(1,'Китай 2030'!C50+'Китай 2030'!F50+(0.08*LN(1+0.5*'Ход 2030'!C56)*MAX(0,1-('Китай 2030'!C50+'Китай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технологий'!$O$25:$O$240,'Эффекты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2030'!B51+'Китай 2030'!D51+('Китай 2030'!C51+'Китай 2030'!F51+'Китай 2030'!G51)+(0.35*LN(1+0.6*'Ход 2030'!B57)*POWER(MAX(0,1-'Китай 2030'!I51/10),0.7))))</f>
        <v>9.9999999999999982</v>
      </c>
      <c r="C51" s="3">
        <f>MIN(1,(MIN(1,'Китай 2030'!C51+'Китай 2030'!F51+(0.08*LN(1+0.5*'Ход 2030'!C57)*MAX(0,1-('Китай 2030'!C51+'Китай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9.9999999999999982</v>
      </c>
      <c r="J51" s="10">
        <f>SUMIFS('Эффекты технологий'!$O$25:$O$240,'Эффекты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2030'!B53+'Китай 2030'!D53+('Китай 2030'!C53+'Китай 2030'!F53+'Китай 2030'!G53)+(0.35*LN(1+0.6*'Ход 2030'!B59)*POWER(MAX(0,1-'Китай 2030'!I53/10),0.7))))</f>
        <v>10</v>
      </c>
      <c r="C53" s="3">
        <f>MIN(1,(MIN(1,'Китай 2030'!C53+'Китай 2030'!F53+(0.08*LN(1+0.5*'Ход 2030'!C59)*MAX(0,1-('Китай 2030'!C53+'Китай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технологий'!$O$25:$O$240,'Эффекты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2030'!B54+'Китай 2030'!D54+('Китай 2030'!C54+'Китай 2030'!F54+'Китай 2030'!G54)+(0.35*LN(1+0.6*'Ход 2030'!B60)*POWER(MAX(0,1-'Китай 2030'!I54/10),0.7))))</f>
        <v>9.9999999999999982</v>
      </c>
      <c r="C54" s="3">
        <f>MIN(1,(MIN(1,'Китай 2030'!C54+'Китай 2030'!F54+(0.08*LN(1+0.5*'Ход 2030'!C60)*MAX(0,1-('Китай 2030'!C54+'Китай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9.9999999999999982</v>
      </c>
      <c r="J54" s="10">
        <f>SUMIFS('Эффекты технологий'!$O$25:$O$240,'Эффекты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2030'!B55+'Китай 2030'!D55+('Китай 2030'!C55+'Китай 2030'!F55+'Китай 2030'!G55)+(0.35*LN(1+0.6*'Ход 2030'!B61)*POWER(MAX(0,1-'Китай 2030'!I55/10),0.7))))</f>
        <v>9.7500000000000018</v>
      </c>
      <c r="C55" s="3">
        <f>MIN(1,(MIN(1,'Китай 2030'!C55+'Китай 2030'!F55+(0.08*LN(1+0.5*'Ход 2030'!C61)*MAX(0,1-('Китай 2030'!C55+'Китай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9.7500000000000018</v>
      </c>
      <c r="J55" s="10">
        <f>SUMIFS('Эффекты технологий'!$O$25:$O$240,'Эффекты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353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2031'!U6</f>
        <v>99.815712024419952</v>
      </c>
      <c r="C6" s="3"/>
      <c r="D6" s="3"/>
      <c r="E6" s="3" t="s">
        <v>321</v>
      </c>
      <c r="F6" s="3">
        <f>'Китай 2031'!K6</f>
        <v>98.454740366663941</v>
      </c>
      <c r="G6" s="3"/>
      <c r="H6" s="3"/>
      <c r="I6" s="3" t="s">
        <v>321</v>
      </c>
      <c r="J6" s="3">
        <f>'Китай 2031'!N6</f>
        <v>99.7662996666092</v>
      </c>
      <c r="K6" s="3"/>
      <c r="L6" s="3"/>
      <c r="M6" s="3" t="s">
        <v>321</v>
      </c>
      <c r="N6" s="3">
        <f>'Китай 2031'!Q6</f>
        <v>84.791767878315454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99.815712024419952</v>
      </c>
      <c r="C8" s="3" t="str">
        <f>IF(B8&lt;0,"ПРЕВЫШЕНИЕ","OK")</f>
        <v>OK</v>
      </c>
      <c r="D8" s="3"/>
      <c r="E8" s="3" t="s">
        <v>323</v>
      </c>
      <c r="F8" s="3">
        <f>F6-F7</f>
        <v>98.454740366663941</v>
      </c>
      <c r="G8" s="3" t="str">
        <f>IF(F8&lt;0,"ПРЕВЫШЕНИЕ","OK")</f>
        <v>OK</v>
      </c>
      <c r="H8" s="3"/>
      <c r="I8" s="3" t="s">
        <v>323</v>
      </c>
      <c r="J8" s="3">
        <f>J6-J7</f>
        <v>99.7662996666092</v>
      </c>
      <c r="K8" s="3" t="str">
        <f>IF(J8&lt;0,"ПРЕВЫШЕНИЕ","OK")</f>
        <v>OK</v>
      </c>
      <c r="L8" s="3"/>
      <c r="M8" s="3" t="s">
        <v>323</v>
      </c>
      <c r="N8" s="3">
        <f>N6-N7</f>
        <v>84.791767878315454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2031'!V11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2031'!V12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2031'!V13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2031'!V14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2031'!V15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2031'!V16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2031'!V17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2031'!V18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2031'!V19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2031'!V20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2031'!V21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2031'!V22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технологий'!O$16</f>
        <v>0</v>
      </c>
      <c r="H25" s="11">
        <f>'Эффекты технологий'!O$17</f>
        <v>0</v>
      </c>
      <c r="I25" s="11">
        <f>'Эффекты технологий'!O$18</f>
        <v>0</v>
      </c>
      <c r="J25" s="12"/>
      <c r="K25" s="3"/>
      <c r="L25" s="3" t="s">
        <v>558</v>
      </c>
      <c r="M25" s="3">
        <f>'Китай 2031'!V23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2031'!V24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2031'!V25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2031'!V26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IF(G29="","",VLOOKUP(G29,Технологии!$A$11:$BF$50,49,FALSE))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IF(G30="","",VLOOKUP(G30,Технологии!$A$11:$BF$50,49,FALSE))</f>
        <v/>
      </c>
      <c r="L30" s="3"/>
      <c r="M30" s="3"/>
      <c r="N30" s="12" t="s">
        <v>340</v>
      </c>
      <c r="O30" s="11">
        <f>'Эффекты технологий'!O$13</f>
        <v>0</v>
      </c>
      <c r="P30" s="11">
        <f>'Эффекты технологий'!O$14</f>
        <v>0</v>
      </c>
      <c r="Q30" s="11">
        <f>'Эффекты технологий'!O$15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IF(G31="","",VLOOKUP(G31,Технологии!$A$11:$BF$50,49,FALSE))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IF(G32="","",VLOOKUP(G32,Технологии!$A$11:$BF$50,49,FALSE))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IF(G33="","",VLOOKUP(G33,Технологии!$A$11:$BF$50,49,FALSE))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IF(G34="","",VLOOKUP(G34,Технологии!$A$11:$BF$50,49,FALSE))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IF(G35="","",VLOOKUP(G35,Технологии!$A$11:$BF$50,49,FALSE))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IF(G36="","",VLOOKUP(G36,Технологии!$A$11:$BF$50,49,FALSE))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IF(G37="","",VLOOKUP(G37,Технологии!$A$11:$BF$50,49,FALSE))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IF(G38="","",VLOOKUP(G38,Технологии!$A$11:$BF$50,49,FALSE))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571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98.756481458886441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99.806644801865886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85.056391393289744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99.855316960841165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2031'!B8+'Китай 2031'!D8+('Китай 2031'!C8+'Китай 2031'!F8+'Китай 2031'!G8)+(0.35*LN(1+0.6*('Ход 2031'!B14*(1+'Эффекты технологий'!O$12)))*POWER(MAX(0,1-'Китай 2031'!I8/10),0.7))))</f>
        <v>9.8000000000000043</v>
      </c>
      <c r="C8" s="3">
        <f>MIN(1,(MIN(1,'Китай 2031'!C8+'Китай 2031'!F8+(0.08*LN(1+0.5*('Ход 2031'!C14*(1+'Эффекты технологий'!O$12)))*MAX(0,1-('Китай 2031'!C8+'Китай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9.8000000000000043</v>
      </c>
      <c r="J8" s="10">
        <f>SUMIFS('Эффекты технологий'!$P$25:$P$240,'Эффекты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2031'!B9+'Китай 2031'!D9+('Китай 2031'!C9+'Китай 2031'!F9+'Китай 2031'!G9)+(0.35*LN(1+0.6*('Ход 2031'!B15*(1+'Эффекты технологий'!O$12)))*POWER(MAX(0,1-'Китай 2031'!I9/10),0.7))))</f>
        <v>10</v>
      </c>
      <c r="C9" s="3">
        <f>MIN(1,(MIN(1,'Китай 2031'!C9+'Китай 2031'!F9+(0.08*LN(1+0.5*('Ход 2031'!C15*(1+'Эффекты технологий'!O$12)))*MAX(0,1-('Китай 2031'!C9+'Китай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технологий'!$P$25:$P$240,'Эффекты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2031'!B10+'Китай 2031'!D10+('Китай 2031'!C10+'Китай 2031'!F10+'Китай 2031'!G10)+(0.35*LN(1+0.6*('Ход 2031'!B16*(1+'Эффекты технологий'!O$12)))*POWER(MAX(0,1-'Китай 2031'!I10/10),0.7))))</f>
        <v>10</v>
      </c>
      <c r="C10" s="3">
        <f>MIN(1,(MIN(1,'Китай 2031'!C10+'Китай 2031'!F10+(0.08*LN(1+0.5*('Ход 2031'!C16*(1+'Эффекты технологий'!O$12)))*MAX(0,1-('Китай 2031'!C10+'Китай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технологий'!$P$25:$P$240,'Эффекты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2031'!B11+'Китай 2031'!D11+('Китай 2031'!C11+'Китай 2031'!F11+'Китай 2031'!G11)+(0.35*LN(1+0.6*('Ход 2031'!B17*(1+'Эффекты технологий'!O$12)))*POWER(MAX(0,1-'Китай 2031'!I11/10),0.7))))</f>
        <v>8.3358149736903577</v>
      </c>
      <c r="C11" s="3">
        <f>MIN(1,(MIN(1,'Китай 2031'!C11+'Китай 2031'!F11+(0.08*LN(1+0.5*('Ход 2031'!C17*(1+'Эффекты технологий'!O$12)))*MAX(0,1-('Китай 2031'!C11+'Китай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8.3358149736903577</v>
      </c>
      <c r="J11" s="10">
        <f>SUMIFS('Эффекты технологий'!$P$25:$P$240,'Эффекты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2031'!L11+'Китай 2031'!N11+('Китай 2031'!M11+'Китай 2031'!P11+'Китай 2031'!Q11)))</f>
        <v>10</v>
      </c>
      <c r="M11" s="3">
        <f>MIN(1,(MIN(1,'Китай 2031'!M11+'Китай 2031'!P11+(0.1*LN(1+0.5*('Ход 2031'!H13*(1+'Эффекты технологий'!O$10)))*POWER(MAX(0,1-'Китай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технологий'!$P$25:$P$240,'Эффекты технологий'!$C$25:$C$240,$K11,'Эффекты технологий'!$D$25:$D$240,"Значение")</f>
        <v>0</v>
      </c>
      <c r="U11" s="3" t="s">
        <v>534</v>
      </c>
      <c r="V11" s="7">
        <f>'Китай 2031'!V11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2031'!B12+'Китай 2031'!D12+('Китай 2031'!C12+'Китай 2031'!F12+'Китай 2031'!G12)+(0.35*LN(1+0.6*('Ход 2031'!B18*(1+'Эффекты технологий'!O$12)))*POWER(MAX(0,1-'Китай 2031'!I12/10),0.7))))</f>
        <v>9.3000000000000043</v>
      </c>
      <c r="C12" s="3">
        <f>MIN(1,(MIN(1,'Китай 2031'!C12+'Китай 2031'!F12+(0.08*LN(1+0.5*('Ход 2031'!C18*(1+'Эффекты технологий'!O$12)))*MAX(0,1-('Китай 2031'!C12+'Китай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9.3000000000000043</v>
      </c>
      <c r="J12" s="10">
        <f>SUMIFS('Эффекты технологий'!$P$25:$P$240,'Эффекты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2031'!L12+'Китай 2031'!N12+('Китай 2031'!M12+'Китай 2031'!P12+'Китай 2031'!Q12)))</f>
        <v>10</v>
      </c>
      <c r="M12" s="3">
        <f>MIN(1,(MIN(1,'Китай 2031'!M12+'Китай 2031'!P12+(0.1*LN(1+0.5*('Ход 2031'!H14*(1+'Эффекты технологий'!O$10)))*POWER(MAX(0,1-'Китай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технологий'!$P$25:$P$240,'Эффекты технологий'!$C$25:$C$240,$K12,'Эффекты технологий'!$D$25:$D$240,"Значение")</f>
        <v>0</v>
      </c>
      <c r="U12" s="3" t="s">
        <v>536</v>
      </c>
      <c r="V12" s="7">
        <f>'Китай 2031'!V12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2031'!B13+'Китай 2031'!D13+('Китай 2031'!C13+'Китай 2031'!F13+'Китай 2031'!G13)+(0.35*LN(1+0.6*('Ход 2031'!B19*(1+'Эффекты технологий'!O$12)))*POWER(MAX(0,1-'Китай 2031'!I13/10),0.7))))</f>
        <v>10</v>
      </c>
      <c r="C13" s="3">
        <f>MIN(1,(MIN(1,'Китай 2031'!C13+'Китай 2031'!F13+(0.08*LN(1+0.5*('Ход 2031'!C19*(1+'Эффекты технологий'!O$12)))*MAX(0,1-('Китай 2031'!C13+'Китай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технологий'!$P$25:$P$240,'Эффекты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2031'!L13+'Китай 2031'!N13+('Китай 2031'!M13+'Китай 2031'!P13+'Китай 2031'!Q13)))</f>
        <v>10</v>
      </c>
      <c r="M13" s="3">
        <f>MIN(1,(MIN(1,'Китай 2031'!M13+'Китай 2031'!P13+(0.1*LN(1+0.5*('Ход 2031'!H15*(1+'Эффекты технологий'!O$10)))*POWER(MAX(0,1-'Китай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технологий'!$P$25:$P$240,'Эффекты технологий'!$C$25:$C$240,$K13,'Эффекты технологий'!$D$25:$D$240,"Значение")</f>
        <v>0</v>
      </c>
      <c r="U13" s="3" t="s">
        <v>538</v>
      </c>
      <c r="V13" s="7">
        <f>'Китай 2031'!V13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2031'!B14+'Китай 2031'!D14+('Китай 2031'!C14+'Китай 2031'!F14+'Китай 2031'!G14)+(0.35*LN(1+0.6*('Ход 2031'!B20*(1+'Эффекты технологий'!O$12)))*POWER(MAX(0,1-'Китай 2031'!I14/10),0.7))))</f>
        <v>10</v>
      </c>
      <c r="C14" s="3">
        <f>MIN(1,(MIN(1,'Китай 2031'!C14+'Китай 2031'!F14+(0.08*LN(1+0.5*('Ход 2031'!C20*(1+'Эффекты технологий'!O$12)))*MAX(0,1-('Китай 2031'!C14+'Китай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технологий'!$P$25:$P$240,'Эффекты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2031'!L14+'Китай 2031'!N14+('Китай 2031'!M14+'Китай 2031'!P14+'Китай 2031'!Q14)))</f>
        <v>10</v>
      </c>
      <c r="M14" s="3">
        <f>MIN(1,(MIN(1,'Китай 2031'!M14+'Китай 2031'!P14+(0.1*LN(1+0.5*('Ход 2031'!H16*(1+'Эффекты технологий'!O$10)))*POWER(MAX(0,1-'Китай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технологий'!$P$25:$P$240,'Эффекты технологий'!$C$25:$C$240,$K14,'Эффекты технологий'!$D$25:$D$240,"Значение")</f>
        <v>0</v>
      </c>
      <c r="U14" s="3" t="s">
        <v>540</v>
      </c>
      <c r="V14" s="7">
        <f>'Китай 2031'!V14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2031'!B15+'Китай 2031'!D15+('Китай 2031'!C15+'Китай 2031'!F15+'Китай 2031'!G15)+(0.35*LN(1+0.6*('Ход 2031'!B21*(1+'Эффекты технологий'!O$12)))*POWER(MAX(0,1-'Китай 2031'!I15/10),0.7))))</f>
        <v>10</v>
      </c>
      <c r="C15" s="3">
        <f>MIN(1,(MIN(1,'Китай 2031'!C15+'Китай 2031'!F15+(0.08*LN(1+0.5*('Ход 2031'!C21*(1+'Эффекты технологий'!O$12)))*MAX(0,1-('Китай 2031'!C15+'Китай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технологий'!$P$25:$P$240,'Эффекты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2031'!L15+'Китай 2031'!N15+('Китай 2031'!M15+'Китай 2031'!P15+'Китай 2031'!Q15)))</f>
        <v>10</v>
      </c>
      <c r="M15" s="3">
        <f>MIN(1,(MIN(1,'Китай 2031'!M15+'Китай 2031'!P15+(0.1*LN(1+0.5*('Ход 2031'!H17*(1+'Эффекты технологий'!O$10)))*POWER(MAX(0,1-'Китай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технологий'!$P$25:$P$240,'Эффекты технологий'!$C$25:$C$240,$K15,'Эффекты технологий'!$D$25:$D$240,"Значение")</f>
        <v>0</v>
      </c>
      <c r="U15" s="3" t="s">
        <v>542</v>
      </c>
      <c r="V15" s="7">
        <f>'Китай 2031'!V15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2031'!B16+'Китай 2031'!D16+('Китай 2031'!C16+'Китай 2031'!F16+'Китай 2031'!G16)+(0.35*LN(1+0.6*('Ход 2031'!B22*(1+'Эффекты технологий'!O$12)))*POWER(MAX(0,1-'Китай 2031'!I16/10),0.7))))</f>
        <v>10</v>
      </c>
      <c r="C16" s="3">
        <f>MIN(1,(MIN(1,'Китай 2031'!C16+'Китай 2031'!F16+(0.08*LN(1+0.5*('Ход 2031'!C22*(1+'Эффекты технологий'!O$12)))*MAX(0,1-('Китай 2031'!C16+'Китай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технологий'!$P$25:$P$240,'Эффекты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2031'!L16+'Китай 2031'!N16+('Китай 2031'!M16+'Китай 2031'!P16+'Китай 2031'!Q16)))</f>
        <v>10</v>
      </c>
      <c r="M16" s="3">
        <f>MIN(1,(MIN(1,'Китай 2031'!M16+'Китай 2031'!P16+(0.1*LN(1+0.5*('Ход 2031'!H18*(1+'Эффекты технологий'!O$10)))*POWER(MAX(0,1-'Китай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технологий'!$P$25:$P$240,'Эффекты технологий'!$C$25:$C$240,$K16,'Эффекты технологий'!$D$25:$D$240,"Значение")</f>
        <v>0</v>
      </c>
      <c r="U16" s="3" t="s">
        <v>544</v>
      </c>
      <c r="V16" s="7">
        <f>'Китай 2031'!V16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2031'!B17+'Китай 2031'!D17+('Китай 2031'!C17+'Китай 2031'!F17+'Китай 2031'!G17)+(0.35*LN(1+0.6*('Ход 2031'!B23*(1+'Эффекты технологий'!O$12)))*POWER(MAX(0,1-'Китай 2031'!I17/10),0.7))))</f>
        <v>10</v>
      </c>
      <c r="C17" s="3">
        <f>MIN(1,(MIN(1,'Китай 2031'!C17+'Китай 2031'!F17+(0.08*LN(1+0.5*('Ход 2031'!C23*(1+'Эффекты технологий'!O$12)))*MAX(0,1-('Китай 2031'!C17+'Китай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технологий'!$P$25:$P$240,'Эффекты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2031'!L17+'Китай 2031'!N17+('Китай 2031'!M17+'Китай 2031'!P17+'Китай 2031'!Q17)))</f>
        <v>10</v>
      </c>
      <c r="M17" s="3">
        <f>MIN(1,(MIN(1,'Китай 2031'!M17+'Китай 2031'!P17+(0.1*LN(1+0.5*('Ход 2031'!H19*(1+'Эффекты технологий'!O$10)))*POWER(MAX(0,1-'Китай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технологий'!$P$25:$P$240,'Эффекты технологий'!$C$25:$C$240,$K17,'Эффекты технологий'!$D$25:$D$240,"Значение")</f>
        <v>0</v>
      </c>
      <c r="U17" s="3" t="s">
        <v>546</v>
      </c>
      <c r="V17" s="7">
        <f>'Китай 2031'!V17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2031'!L18+'Китай 2031'!N18+('Китай 2031'!M18+'Китай 2031'!P18+'Китай 2031'!Q18)))</f>
        <v>10</v>
      </c>
      <c r="M18" s="3">
        <f>MIN(1,(MIN(1,'Китай 2031'!M18+'Китай 2031'!P18+(0.1*LN(1+0.5*('Ход 2031'!H20*(1+'Эффекты технологий'!O$10)))*POWER(MAX(0,1-'Китай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технологий'!$P$25:$P$240,'Эффекты технологий'!$C$25:$C$240,$K18,'Эффекты технологий'!$D$25:$D$240,"Значение")</f>
        <v>0</v>
      </c>
      <c r="U18" s="3" t="s">
        <v>548</v>
      </c>
      <c r="V18" s="7">
        <f>'Китай 2031'!V18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2031'!B19+'Китай 2031'!D19+('Китай 2031'!C19+'Китай 2031'!F19+'Китай 2031'!G19)+(0.35*LN(1+0.6*'Ход 2031'!B25)*POWER(MAX(0,1-'Китай 2031'!I19/10),0.7))))</f>
        <v>9.5533200137544654</v>
      </c>
      <c r="C19" s="3">
        <f>MIN(1,(MIN(1,'Китай 2031'!C19+'Китай 2031'!F19+(0.08*LN(1+0.5*'Ход 2031'!C25)*MAX(0,1-('Китай 2031'!C19+'Китай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9.5533200137544654</v>
      </c>
      <c r="J19" s="10">
        <f>SUMIFS('Эффекты технологий'!$P$25:$P$240,'Эффекты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2031'!V19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2031'!B20+'Китай 2031'!D20+('Китай 2031'!C20+'Китай 2031'!F20+'Китай 2031'!G20)+(0.35*LN(1+0.6*'Ход 2031'!B26)*POWER(MAX(0,1-'Китай 2031'!I20/10),0.7))))</f>
        <v>10</v>
      </c>
      <c r="C20" s="3">
        <f>MIN(1,(MIN(1,'Китай 2031'!C20+'Китай 2031'!F20+(0.08*LN(1+0.5*'Ход 2031'!C26)*MAX(0,1-('Китай 2031'!C20+'Китай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технологий'!$P$25:$P$240,'Эффекты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2031'!V20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2031'!B21+'Китай 2031'!D21+('Китай 2031'!C21+'Китай 2031'!F21+'Китай 2031'!G21)+(0.35*LN(1+0.6*'Ход 2031'!B27)*POWER(MAX(0,1-'Китай 2031'!I21/10),0.7))))</f>
        <v>10</v>
      </c>
      <c r="C21" s="3">
        <f>MIN(1,(MIN(1,'Китай 2031'!C21+'Китай 2031'!F21+(0.08*LN(1+0.5*'Ход 2031'!C27)*MAX(0,1-('Китай 2031'!C21+'Китай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технологий'!$P$25:$P$240,'Эффекты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2031'!V21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2031'!B22+'Китай 2031'!D22+('Китай 2031'!C22+'Китай 2031'!F22+'Китай 2031'!G22)+(0.35*LN(1+0.6*'Ход 2031'!B28)*POWER(MAX(0,1-'Китай 2031'!I22/10),0.7))))</f>
        <v>10</v>
      </c>
      <c r="C22" s="3">
        <f>MIN(1,(MIN(1,'Китай 2031'!C22+'Китай 2031'!F22+(0.08*LN(1+0.5*'Ход 2031'!C28)*MAX(0,1-('Китай 2031'!C22+'Китай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технологий'!$P$25:$P$240,'Эффекты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2031'!V22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2031'!B23+'Китай 2031'!D23+('Китай 2031'!C23+'Китай 2031'!F23+'Китай 2031'!G23)+(0.35*LN(1+0.6*'Ход 2031'!B29)*POWER(MAX(0,1-'Китай 2031'!I23/10),0.7))))</f>
        <v>10</v>
      </c>
      <c r="C23" s="3">
        <f>MIN(1,(MIN(1,'Китай 2031'!C23+'Китай 2031'!F23+(0.08*LN(1+0.5*'Ход 2031'!C29)*MAX(0,1-('Китай 2031'!C23+'Китай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технологий'!$P$25:$P$240,'Эффекты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2031'!V23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2031'!V24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2031'!B25+'Китай 2031'!D25+('Китай 2031'!C25+'Китай 2031'!F25+'Китай 2031'!G25)+(0.35*LN(1+0.6*'Ход 2031'!B31)*POWER(MAX(0,1-'Китай 2031'!I25/10),0.7))))</f>
        <v>10</v>
      </c>
      <c r="C25" s="3">
        <f>MIN(1,(MIN(1,'Китай 2031'!C25+'Китай 2031'!F25+(0.08*LN(1+0.5*'Ход 2031'!C31)*MAX(0,1-('Китай 2031'!C25+'Китай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технологий'!$P$25:$P$240,'Эффекты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2031'!V25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2031'!B26+'Китай 2031'!D26+('Китай 2031'!C26+'Китай 2031'!F26+'Китай 2031'!G26)+(0.35*LN(1+0.6*'Ход 2031'!B32)*POWER(MAX(0,1-'Китай 2031'!I26/10),0.7))))</f>
        <v>10</v>
      </c>
      <c r="C26" s="3">
        <f>MIN(1,(MIN(1,'Китай 2031'!C26+'Китай 2031'!F26+(0.08*LN(1+0.5*'Ход 2031'!C32)*MAX(0,1-('Китай 2031'!C26+'Китай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технологий'!$P$25:$P$240,'Эффекты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2031'!V26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2031'!B27+'Китай 2031'!D27+('Китай 2031'!C27+'Китай 2031'!F27+'Китай 2031'!G27)+(0.35*LN(1+0.6*'Ход 2031'!B33)*POWER(MAX(0,1-'Китай 2031'!I27/10),0.7))))</f>
        <v>10</v>
      </c>
      <c r="C27" s="3">
        <f>MIN(1,(MIN(1,'Китай 2031'!C27+'Китай 2031'!F27+(0.08*LN(1+0.5*'Ход 2031'!C33)*MAX(0,1-('Китай 2031'!C27+'Китай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технологий'!$P$25:$P$240,'Эффекты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2031'!B28+'Китай 2031'!D28+('Китай 2031'!C28+'Китай 2031'!F28+'Китай 2031'!G28)+(0.35*LN(1+0.6*'Ход 2031'!B34)*POWER(MAX(0,1-'Китай 2031'!I28/10),0.7))))</f>
        <v>10</v>
      </c>
      <c r="C28" s="3">
        <f>MIN(1,(MIN(1,'Китай 2031'!C28+'Китай 2031'!F28+(0.08*LN(1+0.5*'Ход 2031'!C34)*MAX(0,1-('Китай 2031'!C28+'Китай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технологий'!$P$25:$P$240,'Эффекты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2031'!B29+'Китай 2031'!D29+('Китай 2031'!C29+'Китай 2031'!F29+'Китай 2031'!G29)+(0.35*LN(1+0.6*'Ход 2031'!B35)*POWER(MAX(0,1-'Китай 2031'!I29/10),0.7))))</f>
        <v>10</v>
      </c>
      <c r="C29" s="3">
        <f>MIN(1,(MIN(1,'Китай 2031'!C29+'Китай 2031'!F29+(0.08*LN(1+0.5*'Ход 2031'!C35)*MAX(0,1-('Китай 2031'!C29+'Китай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технологий'!$P$25:$P$240,'Эффекты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2031'!B30+'Китай 2031'!D30+('Китай 2031'!C30+'Китай 2031'!F30+'Китай 2031'!G30)+(0.35*LN(1+0.6*'Ход 2031'!B36)*POWER(MAX(0,1-'Китай 2031'!I30/10),0.7))))</f>
        <v>8.6999999999999975</v>
      </c>
      <c r="C30" s="3">
        <f>MIN(1,(MIN(1,'Китай 2031'!C30+'Китай 2031'!F30+(0.08*LN(1+0.5*'Ход 2031'!C36)*MAX(0,1-('Китай 2031'!C30+'Китай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8.6999999999999975</v>
      </c>
      <c r="J30" s="10">
        <f>SUMIFS('Эффекты технологий'!$P$25:$P$240,'Эффекты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2031'!B31+'Китай 2031'!D31+('Китай 2031'!C31+'Китай 2031'!F31+'Китай 2031'!G31)+(0.35*LN(1+0.6*'Ход 2031'!B37)*POWER(MAX(0,1-'Китай 2031'!I31/10),0.7))))</f>
        <v>8.4632422982074118</v>
      </c>
      <c r="C31" s="3">
        <f>MIN(1,(MIN(1,'Китай 2031'!C31+'Китай 2031'!F31+(0.08*LN(1+0.5*'Ход 2031'!C37)*MAX(0,1-('Китай 2031'!C31+'Китай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8.4632422982074118</v>
      </c>
      <c r="J31" s="10">
        <f>SUMIFS('Эффекты технологий'!$P$25:$P$240,'Эффекты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2031'!B32+'Китай 2031'!D32+('Китай 2031'!C32+'Китай 2031'!F32+'Китай 2031'!G32)+(0.35*LN(1+0.6*'Ход 2031'!B38)*POWER(MAX(0,1-'Китай 2031'!I32/10),0.7))))</f>
        <v>9.9000000000000021</v>
      </c>
      <c r="C32" s="3">
        <f>MIN(1,(MIN(1,'Китай 2031'!C32+'Китай 2031'!F32+(0.08*LN(1+0.5*'Ход 2031'!C38)*MAX(0,1-('Китай 2031'!C32+'Китай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9.9000000000000021</v>
      </c>
      <c r="J32" s="10">
        <f>SUMIFS('Эффекты технологий'!$P$25:$P$240,'Эффекты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2031'!B34+'Китай 2031'!D34+('Китай 2031'!C34+'Китай 2031'!F34+'Китай 2031'!G34)+(0.35*LN(1+0.6*'Ход 2031'!B40)*POWER(MAX(0,1-'Китай 2031'!I34/10),0.7))))</f>
        <v>10</v>
      </c>
      <c r="C34" s="3">
        <f>MIN(1,(MIN(1,'Китай 2031'!C34+'Китай 2031'!F34+(0.08*LN(1+0.5*'Ход 2031'!C40)*MAX(0,1-('Китай 2031'!C34+'Китай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технологий'!$P$25:$P$240,'Эффекты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2031'!B35+'Китай 2031'!D35+('Китай 2031'!C35+'Китай 2031'!F35+'Китай 2031'!G35)+(0.35*LN(1+0.6*'Ход 2031'!B41)*POWER(MAX(0,1-'Китай 2031'!I35/10),0.7))))</f>
        <v>10</v>
      </c>
      <c r="C35" s="3">
        <f>MIN(1,(MIN(1,'Китай 2031'!C35+'Китай 2031'!F35+(0.08*LN(1+0.5*'Ход 2031'!C41)*MAX(0,1-('Китай 2031'!C35+'Китай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технологий'!$P$25:$P$240,'Эффекты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2031'!B36+'Китай 2031'!D36+('Китай 2031'!C36+'Китай 2031'!F36+'Китай 2031'!G36)+(0.35*LN(1+0.6*'Ход 2031'!B42)*POWER(MAX(0,1-'Китай 2031'!I36/10),0.7))))</f>
        <v>10</v>
      </c>
      <c r="C36" s="3">
        <f>MIN(1,(MIN(1,'Китай 2031'!C36+'Китай 2031'!F36+(0.08*LN(1+0.5*'Ход 2031'!C42)*MAX(0,1-('Китай 2031'!C36+'Китай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технологий'!$P$25:$P$240,'Эффекты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2031'!B37+'Китай 2031'!D37+('Китай 2031'!C37+'Китай 2031'!F37+'Китай 2031'!G37)+(0.35*LN(1+0.6*'Ход 2031'!B43)*POWER(MAX(0,1-'Китай 2031'!I37/10),0.7))))</f>
        <v>10</v>
      </c>
      <c r="C37" s="3">
        <f>MIN(1,(MIN(1,'Китай 2031'!C37+'Китай 2031'!F37+(0.08*LN(1+0.5*'Ход 2031'!C43)*MAX(0,1-('Китай 2031'!C37+'Китай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технологий'!$P$25:$P$240,'Эффекты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2031'!B38+'Китай 2031'!D38+('Китай 2031'!C38+'Китай 2031'!F38+'Китай 2031'!G38)+(0.35*LN(1+0.6*'Ход 2031'!B44)*POWER(MAX(0,1-'Китай 2031'!I38/10),0.7))))</f>
        <v>10</v>
      </c>
      <c r="C38" s="3">
        <f>MIN(1,(MIN(1,'Китай 2031'!C38+'Китай 2031'!F38+(0.08*LN(1+0.5*'Ход 2031'!C44)*MAX(0,1-('Китай 2031'!C38+'Китай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технологий'!$P$25:$P$240,'Эффекты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2031'!B39+'Китай 2031'!D39+('Китай 2031'!C39+'Китай 2031'!F39+'Китай 2031'!G39)+(0.35*LN(1+0.6*'Ход 2031'!B45)*POWER(MAX(0,1-'Китай 2031'!I39/10),0.7))))</f>
        <v>9.9000000000000021</v>
      </c>
      <c r="C39" s="3">
        <f>MIN(1,(MIN(1,'Китай 2031'!C39+'Китай 2031'!F39+(0.08*LN(1+0.5*'Ход 2031'!C45)*MAX(0,1-('Китай 2031'!C39+'Китай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9.9000000000000021</v>
      </c>
      <c r="J39" s="10">
        <f>SUMIFS('Эффекты технологий'!$P$25:$P$240,'Эффекты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2031'!B40+'Китай 2031'!D40+('Китай 2031'!C40+'Китай 2031'!F40+'Китай 2031'!G40)+(0.35*LN(1+0.6*'Ход 2031'!B46)*POWER(MAX(0,1-'Китай 2031'!I40/10),0.7))))</f>
        <v>9.5999999999999979</v>
      </c>
      <c r="C40" s="3">
        <f>MIN(1,(MIN(1,'Китай 2031'!C40+'Китай 2031'!F40+(0.08*LN(1+0.5*'Ход 2031'!C46)*MAX(0,1-('Китай 2031'!C40+'Китай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9.5999999999999979</v>
      </c>
      <c r="J40" s="10">
        <f>SUMIFS('Эффекты технологий'!$P$25:$P$240,'Эффекты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2031'!B41+'Китай 2031'!D41+('Китай 2031'!C41+'Китай 2031'!F41+'Китай 2031'!G41)+(0.35*LN(1+0.6*'Ход 2031'!B47)*POWER(MAX(0,1-'Китай 2031'!I41/10),0.7))))</f>
        <v>10</v>
      </c>
      <c r="C41" s="3">
        <f>MIN(1,(MIN(1,'Китай 2031'!C41+'Китай 2031'!F41+(0.08*LN(1+0.5*'Ход 2031'!C47)*MAX(0,1-('Китай 2031'!C41+'Китай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технологий'!$P$25:$P$240,'Эффекты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2031'!B42+'Китай 2031'!D42+('Китай 2031'!C42+'Китай 2031'!F42+'Китай 2031'!G42)+(0.35*LN(1+0.6*'Ход 2031'!B48)*POWER(MAX(0,1-'Китай 2031'!I42/10),0.7))))</f>
        <v>10</v>
      </c>
      <c r="C42" s="3">
        <f>MIN(1,(MIN(1,'Китай 2031'!C42+'Китай 2031'!F42+(0.08*LN(1+0.5*'Ход 2031'!C48)*MAX(0,1-('Китай 2031'!C42+'Китай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технологий'!$P$25:$P$240,'Эффекты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2031'!B44+'Китай 2031'!D44+('Китай 2031'!C44+'Китай 2031'!F44+'Китай 2031'!G44)+(0.35*LN(1+0.6*'Ход 2031'!B50)*POWER(MAX(0,1-'Китай 2031'!I44/10),0.7))))</f>
        <v>9.1008841499185191</v>
      </c>
      <c r="C44" s="3">
        <f>MIN(1,(MIN(1,'Китай 2031'!C44+'Китай 2031'!F44+(0.08*LN(1+0.5*'Ход 2031'!C50)*MAX(0,1-('Китай 2031'!C44+'Китай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9.1008841499185191</v>
      </c>
      <c r="J44" s="10">
        <f>SUMIFS('Эффекты технологий'!$P$25:$P$240,'Эффекты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2031'!B45+'Китай 2031'!D45+('Китай 2031'!C45+'Китай 2031'!F45+'Китай 2031'!G45)+(0.35*LN(1+0.6*'Ход 2031'!B51)*POWER(MAX(0,1-'Китай 2031'!I45/10),0.7))))</f>
        <v>10</v>
      </c>
      <c r="C45" s="3">
        <f>MIN(1,(MIN(1,'Китай 2031'!C45+'Китай 2031'!F45+(0.08*LN(1+0.5*'Ход 2031'!C51)*MAX(0,1-('Китай 2031'!C45+'Китай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технологий'!$P$25:$P$240,'Эффекты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2031'!B46+'Китай 2031'!D46+('Китай 2031'!C46+'Китай 2031'!F46+'Китай 2031'!G46)+(0.35*LN(1+0.6*'Ход 2031'!B52)*POWER(MAX(0,1-'Китай 2031'!I46/10),0.7))))</f>
        <v>10</v>
      </c>
      <c r="C46" s="3">
        <f>MIN(1,(MIN(1,'Китай 2031'!C46+'Китай 2031'!F46+(0.08*LN(1+0.5*'Ход 2031'!C52)*MAX(0,1-('Китай 2031'!C46+'Китай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технологий'!$P$25:$P$240,'Эффекты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2031'!B47+'Китай 2031'!D47+('Китай 2031'!C47+'Китай 2031'!F47+'Китай 2031'!G47)+(0.35*LN(1+0.6*'Ход 2031'!B53)*POWER(MAX(0,1-'Китай 2031'!I47/10),0.7))))</f>
        <v>6.1883741664603438</v>
      </c>
      <c r="C47" s="3">
        <f>MIN(1,(MIN(1,'Китай 2031'!C47+'Китай 2031'!F47+(0.08*LN(1+0.5*'Ход 2031'!C53)*MAX(0,1-('Китай 2031'!C47+'Китай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6.1883741664603438</v>
      </c>
      <c r="J47" s="10">
        <f>SUMIFS('Эффекты технологий'!$P$25:$P$240,'Эффекты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2031'!B48+'Китай 2031'!D48+('Китай 2031'!C48+'Китай 2031'!F48+'Китай 2031'!G48)+(0.35*LN(1+0.6*'Ход 2031'!B54)*POWER(MAX(0,1-'Китай 2031'!I48/10),0.7))))</f>
        <v>8.8000000000000043</v>
      </c>
      <c r="C48" s="3">
        <f>MIN(1,(MIN(1,'Китай 2031'!C48+'Китай 2031'!F48+(0.08*LN(1+0.5*'Ход 2031'!C54)*MAX(0,1-('Китай 2031'!C48+'Китай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8.8000000000000043</v>
      </c>
      <c r="J48" s="10">
        <f>SUMIFS('Эффекты технологий'!$P$25:$P$240,'Эффекты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2031'!B49+'Китай 2031'!D49+('Китай 2031'!C49+'Китай 2031'!F49+'Китай 2031'!G49)+(0.35*LN(1+0.6*'Ход 2031'!B55)*POWER(MAX(0,1-'Китай 2031'!I49/10),0.7))))</f>
        <v>10</v>
      </c>
      <c r="C49" s="3">
        <f>MIN(1,(MIN(1,'Китай 2031'!C49+'Китай 2031'!F49+(0.08*LN(1+0.5*'Ход 2031'!C55)*MAX(0,1-('Китай 2031'!C49+'Китай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технологий'!$P$25:$P$240,'Эффекты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2031'!B50+'Китай 2031'!D50+('Китай 2031'!C50+'Китай 2031'!F50+'Китай 2031'!G50)+(0.35*LN(1+0.6*'Ход 2031'!B56)*POWER(MAX(0,1-'Китай 2031'!I50/10),0.7))))</f>
        <v>10</v>
      </c>
      <c r="C50" s="3">
        <f>MIN(1,(MIN(1,'Китай 2031'!C50+'Китай 2031'!F50+(0.08*LN(1+0.5*'Ход 2031'!C56)*MAX(0,1-('Китай 2031'!C50+'Китай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технологий'!$P$25:$P$240,'Эффекты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2031'!B51+'Китай 2031'!D51+('Китай 2031'!C51+'Китай 2031'!F51+'Китай 2031'!G51)+(0.35*LN(1+0.6*'Ход 2031'!B57)*POWER(MAX(0,1-'Китай 2031'!I51/10),0.7))))</f>
        <v>10</v>
      </c>
      <c r="C51" s="3">
        <f>MIN(1,(MIN(1,'Китай 2031'!C51+'Китай 2031'!F51+(0.08*LN(1+0.5*'Ход 2031'!C57)*MAX(0,1-('Китай 2031'!C51+'Китай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технологий'!$P$25:$P$240,'Эффекты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2031'!B53+'Китай 2031'!D53+('Китай 2031'!C53+'Китай 2031'!F53+'Китай 2031'!G53)+(0.35*LN(1+0.6*'Ход 2031'!B59)*POWER(MAX(0,1-'Китай 2031'!I53/10),0.7))))</f>
        <v>10</v>
      </c>
      <c r="C53" s="3">
        <f>MIN(1,(MIN(1,'Китай 2031'!C53+'Китай 2031'!F53+(0.08*LN(1+0.5*'Ход 2031'!C59)*MAX(0,1-('Китай 2031'!C53+'Китай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технологий'!$P$25:$P$240,'Эффекты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2031'!B54+'Китай 2031'!D54+('Китай 2031'!C54+'Китай 2031'!F54+'Китай 2031'!G54)+(0.35*LN(1+0.6*'Ход 2031'!B60)*POWER(MAX(0,1-'Китай 2031'!I54/10),0.7))))</f>
        <v>10</v>
      </c>
      <c r="C54" s="3">
        <f>MIN(1,(MIN(1,'Китай 2031'!C54+'Китай 2031'!F54+(0.08*LN(1+0.5*'Ход 2031'!C60)*MAX(0,1-('Китай 2031'!C54+'Китай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технологий'!$P$25:$P$240,'Эффекты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2031'!B55+'Китай 2031'!D55+('Китай 2031'!C55+'Китай 2031'!F55+'Китай 2031'!G55)+(0.35*LN(1+0.6*'Ход 2031'!B61)*POWER(MAX(0,1-'Китай 2031'!I55/10),0.7))))</f>
        <v>9.9000000000000021</v>
      </c>
      <c r="C55" s="3">
        <f>MIN(1,(MIN(1,'Китай 2031'!C55+'Китай 2031'!F55+(0.08*LN(1+0.5*'Ход 2031'!C61)*MAX(0,1-('Китай 2031'!C55+'Китай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9.9000000000000021</v>
      </c>
      <c r="J55" s="10">
        <f>SUMIFS('Эффекты технологий'!$P$25:$P$240,'Эффекты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2032'!U6</f>
        <v>99.855316960841165</v>
      </c>
      <c r="C6" s="3"/>
      <c r="D6" s="3"/>
      <c r="E6" s="3" t="s">
        <v>321</v>
      </c>
      <c r="F6" s="3">
        <f>'Китай 2032'!K6</f>
        <v>98.756481458886441</v>
      </c>
      <c r="G6" s="3"/>
      <c r="H6" s="3"/>
      <c r="I6" s="3" t="s">
        <v>321</v>
      </c>
      <c r="J6" s="3">
        <f>'Китай 2032'!N6</f>
        <v>99.806644801865886</v>
      </c>
      <c r="K6" s="3"/>
      <c r="L6" s="3"/>
      <c r="M6" s="3" t="s">
        <v>321</v>
      </c>
      <c r="N6" s="3">
        <f>'Китай 2032'!Q6</f>
        <v>85.056391393289744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99.855316960841165</v>
      </c>
      <c r="C8" s="3" t="str">
        <f>IF(B8&lt;0,"ПРЕВЫШЕНИЕ","OK")</f>
        <v>OK</v>
      </c>
      <c r="D8" s="3"/>
      <c r="E8" s="3" t="s">
        <v>323</v>
      </c>
      <c r="F8" s="3">
        <f>F6-F7</f>
        <v>98.756481458886441</v>
      </c>
      <c r="G8" s="3" t="str">
        <f>IF(F8&lt;0,"ПРЕВЫШЕНИЕ","OK")</f>
        <v>OK</v>
      </c>
      <c r="H8" s="3"/>
      <c r="I8" s="3" t="s">
        <v>323</v>
      </c>
      <c r="J8" s="3">
        <f>J6-J7</f>
        <v>99.806644801865886</v>
      </c>
      <c r="K8" s="3" t="str">
        <f>IF(J8&lt;0,"ПРЕВЫШЕНИЕ","OK")</f>
        <v>OK</v>
      </c>
      <c r="L8" s="3"/>
      <c r="M8" s="3" t="s">
        <v>323</v>
      </c>
      <c r="N8" s="3">
        <f>N6-N7</f>
        <v>85.056391393289744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2032'!V11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2032'!V12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2032'!V13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2032'!V14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2032'!V15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2032'!V16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2032'!V17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2032'!V18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2032'!V19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2032'!V20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2032'!V21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2032'!V22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технологий'!P$16</f>
        <v>0</v>
      </c>
      <c r="H25" s="11">
        <f>'Эффекты технологий'!P$17</f>
        <v>0</v>
      </c>
      <c r="I25" s="11">
        <f>'Эффекты технологий'!P$18</f>
        <v>0</v>
      </c>
      <c r="J25" s="12"/>
      <c r="K25" s="3"/>
      <c r="L25" s="3" t="s">
        <v>558</v>
      </c>
      <c r="M25" s="3">
        <f>'Китай 2032'!V23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2032'!V24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2032'!V25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2032'!V26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IF(G29="","",VLOOKUP(G29,Технологии!$A$11:$BF$50,50,FALSE))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IF(G30="","",VLOOKUP(G30,Технологии!$A$11:$BF$50,50,FALSE))</f>
        <v/>
      </c>
      <c r="L30" s="3"/>
      <c r="M30" s="3"/>
      <c r="N30" s="12" t="s">
        <v>340</v>
      </c>
      <c r="O30" s="11">
        <f>'Эффекты технологий'!P$13</f>
        <v>0</v>
      </c>
      <c r="P30" s="11">
        <f>'Эффекты технологий'!P$14</f>
        <v>0</v>
      </c>
      <c r="Q30" s="11">
        <f>'Эффекты технологий'!P$15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IF(G31="","",VLOOKUP(G31,Технологии!$A$11:$BF$50,50,FALSE))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IF(G32="","",VLOOKUP(G32,Технологии!$A$11:$BF$50,50,FALSE))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IF(G33="","",VLOOKUP(G33,Технологии!$A$11:$BF$50,50,FALSE))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IF(G34="","",VLOOKUP(G34,Технологии!$A$11:$BF$50,50,FALSE))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IF(G35="","",VLOOKUP(G35,Технологии!$A$11:$BF$50,50,FALSE))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IF(G36="","",VLOOKUP(G36,Технологии!$A$11:$BF$50,50,FALSE))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IF(G37="","",VLOOKUP(G37,Технологии!$A$11:$BF$50,50,FALSE))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IF(G38="","",VLOOKUP(G38,Технологии!$A$11:$BF$50,50,FALSE))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98.992191345488337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99.845883600533696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85.195200441228494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99.878570966569214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2032'!B8+'Китай 2032'!D8+('Китай 2032'!C8+'Китай 2032'!F8+'Китай 2032'!G8)+(0.35*LN(1+0.6*('Ход 2032'!B14*(1+'Эффекты технологий'!P$12)))*POWER(MAX(0,1-'Китай 2032'!I8/10),0.7))))</f>
        <v>9.850000000000005</v>
      </c>
      <c r="C8" s="3">
        <f>MIN(1,(MIN(1,'Китай 2032'!C8+'Китай 2032'!F8+(0.08*LN(1+0.5*('Ход 2032'!C14*(1+'Эффекты технологий'!P$12)))*MAX(0,1-('Китай 2032'!C8+'Китай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9.850000000000005</v>
      </c>
      <c r="J8" s="10">
        <f>SUMIFS('Эффекты технологий'!$Q$25:$Q$240,'Эффекты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2032'!B9+'Китай 2032'!D9+('Китай 2032'!C9+'Китай 2032'!F9+'Китай 2032'!G9)+(0.35*LN(1+0.6*('Ход 2032'!B15*(1+'Эффекты технологий'!P$12)))*POWER(MAX(0,1-'Китай 2032'!I9/10),0.7))))</f>
        <v>10</v>
      </c>
      <c r="C9" s="3">
        <f>MIN(1,(MIN(1,'Китай 2032'!C9+'Китай 2032'!F9+(0.08*LN(1+0.5*('Ход 2032'!C15*(1+'Эффекты технологий'!P$12)))*MAX(0,1-('Китай 2032'!C9+'Китай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технологий'!$Q$25:$Q$240,'Эффекты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2032'!B10+'Китай 2032'!D10+('Китай 2032'!C10+'Китай 2032'!F10+'Китай 2032'!G10)+(0.35*LN(1+0.6*('Ход 2032'!B16*(1+'Эффекты технологий'!P$12)))*POWER(MAX(0,1-'Китай 2032'!I10/10),0.7))))</f>
        <v>10</v>
      </c>
      <c r="C10" s="3">
        <f>MIN(1,(MIN(1,'Китай 2032'!C10+'Китай 2032'!F10+(0.08*LN(1+0.5*('Ход 2032'!C16*(1+'Эффекты технологий'!P$12)))*MAX(0,1-('Китай 2032'!C10+'Китай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технологий'!$Q$25:$Q$240,'Эффекты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2032'!B11+'Китай 2032'!D11+('Китай 2032'!C11+'Китай 2032'!F11+'Китай 2032'!G11)+(0.35*LN(1+0.6*('Ход 2032'!B17*(1+'Эффекты технологий'!P$12)))*POWER(MAX(0,1-'Китай 2032'!I11/10),0.7))))</f>
        <v>8.6076546175978663</v>
      </c>
      <c r="C11" s="3">
        <f>MIN(1,(MIN(1,'Китай 2032'!C11+'Китай 2032'!F11+(0.08*LN(1+0.5*('Ход 2032'!C17*(1+'Эффекты технологий'!P$12)))*MAX(0,1-('Китай 2032'!C11+'Китай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8.6076546175978663</v>
      </c>
      <c r="J11" s="10">
        <f>SUMIFS('Эффекты технологий'!$Q$25:$Q$240,'Эффекты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2032'!L11+'Китай 2032'!N11+('Китай 2032'!M11+'Китай 2032'!P11+'Китай 2032'!Q11)))</f>
        <v>10</v>
      </c>
      <c r="M11" s="3">
        <f>MIN(1,(MIN(1,'Китай 2032'!M11+'Китай 2032'!P11+(0.1*LN(1+0.5*('Ход 2032'!H13*(1+'Эффекты технологий'!P$10)))*POWER(MAX(0,1-'Китай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технологий'!$Q$25:$Q$240,'Эффекты технологий'!$C$25:$C$240,$K11,'Эффекты технологий'!$D$25:$D$240,"Значение")</f>
        <v>0</v>
      </c>
      <c r="U11" s="3" t="s">
        <v>534</v>
      </c>
      <c r="V11" s="7">
        <f>'Китай 2032'!V11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2032'!B12+'Китай 2032'!D12+('Китай 2032'!C12+'Китай 2032'!F12+'Китай 2032'!G12)+(0.35*LN(1+0.6*('Ход 2032'!B18*(1+'Эффекты технологий'!P$12)))*POWER(MAX(0,1-'Китай 2032'!I12/10),0.7))))</f>
        <v>9.350000000000005</v>
      </c>
      <c r="C12" s="3">
        <f>MIN(1,(MIN(1,'Китай 2032'!C12+'Китай 2032'!F12+(0.08*LN(1+0.5*('Ход 2032'!C18*(1+'Эффекты технологий'!P$12)))*MAX(0,1-('Китай 2032'!C12+'Китай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9.350000000000005</v>
      </c>
      <c r="J12" s="10">
        <f>SUMIFS('Эффекты технологий'!$Q$25:$Q$240,'Эффекты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2032'!L12+'Китай 2032'!N12+('Китай 2032'!M12+'Китай 2032'!P12+'Китай 2032'!Q12)))</f>
        <v>10</v>
      </c>
      <c r="M12" s="3">
        <f>MIN(1,(MIN(1,'Китай 2032'!M12+'Китай 2032'!P12+(0.1*LN(1+0.5*('Ход 2032'!H14*(1+'Эффекты технологий'!P$10)))*POWER(MAX(0,1-'Китай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технологий'!$Q$25:$Q$240,'Эффекты технологий'!$C$25:$C$240,$K12,'Эффекты технологий'!$D$25:$D$240,"Значение")</f>
        <v>0</v>
      </c>
      <c r="U12" s="3" t="s">
        <v>536</v>
      </c>
      <c r="V12" s="7">
        <f>'Китай 2032'!V12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2032'!B13+'Китай 2032'!D13+('Китай 2032'!C13+'Китай 2032'!F13+'Китай 2032'!G13)+(0.35*LN(1+0.6*('Ход 2032'!B19*(1+'Эффекты технологий'!P$12)))*POWER(MAX(0,1-'Китай 2032'!I13/10),0.7))))</f>
        <v>10</v>
      </c>
      <c r="C13" s="3">
        <f>MIN(1,(MIN(1,'Китай 2032'!C13+'Китай 2032'!F13+(0.08*LN(1+0.5*('Ход 2032'!C19*(1+'Эффекты технологий'!P$12)))*MAX(0,1-('Китай 2032'!C13+'Китай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технологий'!$Q$25:$Q$240,'Эффекты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2032'!L13+'Китай 2032'!N13+('Китай 2032'!M13+'Китай 2032'!P13+'Китай 2032'!Q13)))</f>
        <v>10</v>
      </c>
      <c r="M13" s="3">
        <f>MIN(1,(MIN(1,'Китай 2032'!M13+'Китай 2032'!P13+(0.1*LN(1+0.5*('Ход 2032'!H15*(1+'Эффекты технологий'!P$10)))*POWER(MAX(0,1-'Китай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технологий'!$Q$25:$Q$240,'Эффекты технологий'!$C$25:$C$240,$K13,'Эффекты технологий'!$D$25:$D$240,"Значение")</f>
        <v>0</v>
      </c>
      <c r="U13" s="3" t="s">
        <v>538</v>
      </c>
      <c r="V13" s="7">
        <f>'Китай 2032'!V13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2032'!B14+'Китай 2032'!D14+('Китай 2032'!C14+'Китай 2032'!F14+'Китай 2032'!G14)+(0.35*LN(1+0.6*('Ход 2032'!B20*(1+'Эффекты технологий'!P$12)))*POWER(MAX(0,1-'Китай 2032'!I14/10),0.7))))</f>
        <v>10</v>
      </c>
      <c r="C14" s="3">
        <f>MIN(1,(MIN(1,'Китай 2032'!C14+'Китай 2032'!F14+(0.08*LN(1+0.5*('Ход 2032'!C20*(1+'Эффекты технологий'!P$12)))*MAX(0,1-('Китай 2032'!C14+'Китай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технологий'!$Q$25:$Q$240,'Эффекты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2032'!L14+'Китай 2032'!N14+('Китай 2032'!M14+'Китай 2032'!P14+'Китай 2032'!Q14)))</f>
        <v>10</v>
      </c>
      <c r="M14" s="3">
        <f>MIN(1,(MIN(1,'Китай 2032'!M14+'Китай 2032'!P14+(0.1*LN(1+0.5*('Ход 2032'!H16*(1+'Эффекты технологий'!P$10)))*POWER(MAX(0,1-'Китай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технологий'!$Q$25:$Q$240,'Эффекты технологий'!$C$25:$C$240,$K14,'Эффекты технологий'!$D$25:$D$240,"Значение")</f>
        <v>0</v>
      </c>
      <c r="U14" s="3" t="s">
        <v>540</v>
      </c>
      <c r="V14" s="7">
        <f>'Китай 2032'!V14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2032'!B15+'Китай 2032'!D15+('Китай 2032'!C15+'Китай 2032'!F15+'Китай 2032'!G15)+(0.35*LN(1+0.6*('Ход 2032'!B21*(1+'Эффекты технологий'!P$12)))*POWER(MAX(0,1-'Китай 2032'!I15/10),0.7))))</f>
        <v>10</v>
      </c>
      <c r="C15" s="3">
        <f>MIN(1,(MIN(1,'Китай 2032'!C15+'Китай 2032'!F15+(0.08*LN(1+0.5*('Ход 2032'!C21*(1+'Эффекты технологий'!P$12)))*MAX(0,1-('Китай 2032'!C15+'Китай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технологий'!$Q$25:$Q$240,'Эффекты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2032'!L15+'Китай 2032'!N15+('Китай 2032'!M15+'Китай 2032'!P15+'Китай 2032'!Q15)))</f>
        <v>10</v>
      </c>
      <c r="M15" s="3">
        <f>MIN(1,(MIN(1,'Китай 2032'!M15+'Китай 2032'!P15+(0.1*LN(1+0.5*('Ход 2032'!H17*(1+'Эффекты технологий'!P$10)))*POWER(MAX(0,1-'Китай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технологий'!$Q$25:$Q$240,'Эффекты технологий'!$C$25:$C$240,$K15,'Эффекты технологий'!$D$25:$D$240,"Значение")</f>
        <v>0</v>
      </c>
      <c r="U15" s="3" t="s">
        <v>542</v>
      </c>
      <c r="V15" s="7">
        <f>'Китай 2032'!V15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2032'!B16+'Китай 2032'!D16+('Китай 2032'!C16+'Китай 2032'!F16+'Китай 2032'!G16)+(0.35*LN(1+0.6*('Ход 2032'!B22*(1+'Эффекты технологий'!P$12)))*POWER(MAX(0,1-'Китай 2032'!I16/10),0.7))))</f>
        <v>10</v>
      </c>
      <c r="C16" s="3">
        <f>MIN(1,(MIN(1,'Китай 2032'!C16+'Китай 2032'!F16+(0.08*LN(1+0.5*('Ход 2032'!C22*(1+'Эффекты технологий'!P$12)))*MAX(0,1-('Китай 2032'!C16+'Китай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технологий'!$Q$25:$Q$240,'Эффекты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2032'!L16+'Китай 2032'!N16+('Китай 2032'!M16+'Китай 2032'!P16+'Китай 2032'!Q16)))</f>
        <v>10</v>
      </c>
      <c r="M16" s="3">
        <f>MIN(1,(MIN(1,'Китай 2032'!M16+'Китай 2032'!P16+(0.1*LN(1+0.5*('Ход 2032'!H18*(1+'Эффекты технологий'!P$10)))*POWER(MAX(0,1-'Китай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технологий'!$Q$25:$Q$240,'Эффекты технологий'!$C$25:$C$240,$K16,'Эффекты технологий'!$D$25:$D$240,"Значение")</f>
        <v>0</v>
      </c>
      <c r="U16" s="3" t="s">
        <v>544</v>
      </c>
      <c r="V16" s="7">
        <f>'Китай 2032'!V16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2032'!B17+'Китай 2032'!D17+('Китай 2032'!C17+'Китай 2032'!F17+'Китай 2032'!G17)+(0.35*LN(1+0.6*('Ход 2032'!B23*(1+'Эффекты технологий'!P$12)))*POWER(MAX(0,1-'Китай 2032'!I17/10),0.7))))</f>
        <v>10</v>
      </c>
      <c r="C17" s="3">
        <f>MIN(1,(MIN(1,'Китай 2032'!C17+'Китай 2032'!F17+(0.08*LN(1+0.5*('Ход 2032'!C23*(1+'Эффекты технологий'!P$12)))*MAX(0,1-('Китай 2032'!C17+'Китай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технологий'!$Q$25:$Q$240,'Эффекты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2032'!L17+'Китай 2032'!N17+('Китай 2032'!M17+'Китай 2032'!P17+'Китай 2032'!Q17)))</f>
        <v>10</v>
      </c>
      <c r="M17" s="3">
        <f>MIN(1,(MIN(1,'Китай 2032'!M17+'Китай 2032'!P17+(0.1*LN(1+0.5*('Ход 2032'!H19*(1+'Эффекты технологий'!P$10)))*POWER(MAX(0,1-'Китай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технологий'!$Q$25:$Q$240,'Эффекты технологий'!$C$25:$C$240,$K17,'Эффекты технологий'!$D$25:$D$240,"Значение")</f>
        <v>0</v>
      </c>
      <c r="U17" s="3" t="s">
        <v>546</v>
      </c>
      <c r="V17" s="7">
        <f>'Китай 2032'!V17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2032'!L18+'Китай 2032'!N18+('Китай 2032'!M18+'Китай 2032'!P18+'Китай 2032'!Q18)))</f>
        <v>10</v>
      </c>
      <c r="M18" s="3">
        <f>MIN(1,(MIN(1,'Китай 2032'!M18+'Китай 2032'!P18+(0.1*LN(1+0.5*('Ход 2032'!H20*(1+'Эффекты технологий'!P$10)))*POWER(MAX(0,1-'Китай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технологий'!$Q$25:$Q$240,'Эффекты технологий'!$C$25:$C$240,$K18,'Эффекты технологий'!$D$25:$D$240,"Значение")</f>
        <v>0</v>
      </c>
      <c r="U18" s="3" t="s">
        <v>548</v>
      </c>
      <c r="V18" s="7">
        <f>'Китай 2032'!V18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2032'!B19+'Китай 2032'!D19+('Китай 2032'!C19+'Китай 2032'!F19+'Китай 2032'!G19)+(0.35*LN(1+0.6*'Ход 2032'!B25)*POWER(MAX(0,1-'Китай 2032'!I19/10),0.7))))</f>
        <v>9.8033200137544654</v>
      </c>
      <c r="C19" s="3">
        <f>MIN(1,(MIN(1,'Китай 2032'!C19+'Китай 2032'!F19+(0.08*LN(1+0.5*'Ход 2032'!C25)*MAX(0,1-('Китай 2032'!C19+'Китай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9.8033200137544654</v>
      </c>
      <c r="J19" s="10">
        <f>SUMIFS('Эффекты технологий'!$Q$25:$Q$240,'Эффекты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2032'!V19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2032'!B20+'Китай 2032'!D20+('Китай 2032'!C20+'Китай 2032'!F20+'Китай 2032'!G20)+(0.35*LN(1+0.6*'Ход 2032'!B26)*POWER(MAX(0,1-'Китай 2032'!I20/10),0.7))))</f>
        <v>10</v>
      </c>
      <c r="C20" s="3">
        <f>MIN(1,(MIN(1,'Китай 2032'!C20+'Китай 2032'!F20+(0.08*LN(1+0.5*'Ход 2032'!C26)*MAX(0,1-('Китай 2032'!C20+'Китай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технологий'!$Q$25:$Q$240,'Эффекты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2032'!V20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2032'!B21+'Китай 2032'!D21+('Китай 2032'!C21+'Китай 2032'!F21+'Китай 2032'!G21)+(0.35*LN(1+0.6*'Ход 2032'!B27)*POWER(MAX(0,1-'Китай 2032'!I21/10),0.7))))</f>
        <v>10</v>
      </c>
      <c r="C21" s="3">
        <f>MIN(1,(MIN(1,'Китай 2032'!C21+'Китай 2032'!F21+(0.08*LN(1+0.5*'Ход 2032'!C27)*MAX(0,1-('Китай 2032'!C21+'Китай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технологий'!$Q$25:$Q$240,'Эффекты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2032'!V21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2032'!B22+'Китай 2032'!D22+('Китай 2032'!C22+'Китай 2032'!F22+'Китай 2032'!G22)+(0.35*LN(1+0.6*'Ход 2032'!B28)*POWER(MAX(0,1-'Китай 2032'!I22/10),0.7))))</f>
        <v>10</v>
      </c>
      <c r="C22" s="3">
        <f>MIN(1,(MIN(1,'Китай 2032'!C22+'Китай 2032'!F22+(0.08*LN(1+0.5*'Ход 2032'!C28)*MAX(0,1-('Китай 2032'!C22+'Китай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технологий'!$Q$25:$Q$240,'Эффекты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2032'!V22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2032'!B23+'Китай 2032'!D23+('Китай 2032'!C23+'Китай 2032'!F23+'Китай 2032'!G23)+(0.35*LN(1+0.6*'Ход 2032'!B29)*POWER(MAX(0,1-'Китай 2032'!I23/10),0.7))))</f>
        <v>10</v>
      </c>
      <c r="C23" s="3">
        <f>MIN(1,(MIN(1,'Китай 2032'!C23+'Китай 2032'!F23+(0.08*LN(1+0.5*'Ход 2032'!C29)*MAX(0,1-('Китай 2032'!C23+'Китай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технологий'!$Q$25:$Q$240,'Эффекты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2032'!V23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2032'!V24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2032'!B25+'Китай 2032'!D25+('Китай 2032'!C25+'Китай 2032'!F25+'Китай 2032'!G25)+(0.35*LN(1+0.6*'Ход 2032'!B31)*POWER(MAX(0,1-'Китай 2032'!I25/10),0.7))))</f>
        <v>10</v>
      </c>
      <c r="C25" s="3">
        <f>MIN(1,(MIN(1,'Китай 2032'!C25+'Китай 2032'!F25+(0.08*LN(1+0.5*'Ход 2032'!C31)*MAX(0,1-('Китай 2032'!C25+'Китай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технологий'!$Q$25:$Q$240,'Эффекты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2032'!V25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2032'!B26+'Китай 2032'!D26+('Китай 2032'!C26+'Китай 2032'!F26+'Китай 2032'!G26)+(0.35*LN(1+0.6*'Ход 2032'!B32)*POWER(MAX(0,1-'Китай 2032'!I26/10),0.7))))</f>
        <v>10</v>
      </c>
      <c r="C26" s="3">
        <f>MIN(1,(MIN(1,'Китай 2032'!C26+'Китай 2032'!F26+(0.08*LN(1+0.5*'Ход 2032'!C32)*MAX(0,1-('Китай 2032'!C26+'Китай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технологий'!$Q$25:$Q$240,'Эффекты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2032'!V26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2032'!B27+'Китай 2032'!D27+('Китай 2032'!C27+'Китай 2032'!F27+'Китай 2032'!G27)+(0.35*LN(1+0.6*'Ход 2032'!B33)*POWER(MAX(0,1-'Китай 2032'!I27/10),0.7))))</f>
        <v>10</v>
      </c>
      <c r="C27" s="3">
        <f>MIN(1,(MIN(1,'Китай 2032'!C27+'Китай 2032'!F27+(0.08*LN(1+0.5*'Ход 2032'!C33)*MAX(0,1-('Китай 2032'!C27+'Китай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технологий'!$Q$25:$Q$240,'Эффекты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2032'!B28+'Китай 2032'!D28+('Китай 2032'!C28+'Китай 2032'!F28+'Китай 2032'!G28)+(0.35*LN(1+0.6*'Ход 2032'!B34)*POWER(MAX(0,1-'Китай 2032'!I28/10),0.7))))</f>
        <v>10</v>
      </c>
      <c r="C28" s="3">
        <f>MIN(1,(MIN(1,'Китай 2032'!C28+'Китай 2032'!F28+(0.08*LN(1+0.5*'Ход 2032'!C34)*MAX(0,1-('Китай 2032'!C28+'Китай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технологий'!$Q$25:$Q$240,'Эффекты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2032'!B29+'Китай 2032'!D29+('Китай 2032'!C29+'Китай 2032'!F29+'Китай 2032'!G29)+(0.35*LN(1+0.6*'Ход 2032'!B35)*POWER(MAX(0,1-'Китай 2032'!I29/10),0.7))))</f>
        <v>10</v>
      </c>
      <c r="C29" s="3">
        <f>MIN(1,(MIN(1,'Китай 2032'!C29+'Китай 2032'!F29+(0.08*LN(1+0.5*'Ход 2032'!C35)*MAX(0,1-('Китай 2032'!C29+'Китай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технологий'!$Q$25:$Q$240,'Эффекты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2032'!B30+'Китай 2032'!D30+('Китай 2032'!C30+'Китай 2032'!F30+'Китай 2032'!G30)+(0.35*LN(1+0.6*'Ход 2032'!B36)*POWER(MAX(0,1-'Китай 2032'!I30/10),0.7))))</f>
        <v>8.8999999999999968</v>
      </c>
      <c r="C30" s="3">
        <f>MIN(1,(MIN(1,'Китай 2032'!C30+'Китай 2032'!F30+(0.08*LN(1+0.5*'Ход 2032'!C36)*MAX(0,1-('Китай 2032'!C30+'Китай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8.8999999999999968</v>
      </c>
      <c r="J30" s="10">
        <f>SUMIFS('Эффекты технологий'!$Q$25:$Q$240,'Эффекты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2032'!B31+'Китай 2032'!D31+('Китай 2032'!C31+'Китай 2032'!F31+'Китай 2032'!G31)+(0.35*LN(1+0.6*'Ход 2032'!B37)*POWER(MAX(0,1-'Китай 2032'!I31/10),0.7))))</f>
        <v>8.7358907578488942</v>
      </c>
      <c r="C31" s="3">
        <f>MIN(1,(MIN(1,'Китай 2032'!C31+'Китай 2032'!F31+(0.08*LN(1+0.5*'Ход 2032'!C37)*MAX(0,1-('Китай 2032'!C31+'Китай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8.7358907578488942</v>
      </c>
      <c r="J31" s="10">
        <f>SUMIFS('Эффекты технологий'!$Q$25:$Q$240,'Эффекты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2032'!B32+'Китай 2032'!D32+('Китай 2032'!C32+'Китай 2032'!F32+'Китай 2032'!G32)+(0.35*LN(1+0.6*'Ход 2032'!B38)*POWER(MAX(0,1-'Китай 2032'!I32/10),0.7))))</f>
        <v>10</v>
      </c>
      <c r="C32" s="3">
        <f>MIN(1,(MIN(1,'Китай 2032'!C32+'Китай 2032'!F32+(0.08*LN(1+0.5*'Ход 2032'!C38)*MAX(0,1-('Китай 2032'!C32+'Китай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технологий'!$Q$25:$Q$240,'Эффекты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2032'!B34+'Китай 2032'!D34+('Китай 2032'!C34+'Китай 2032'!F34+'Китай 2032'!G34)+(0.35*LN(1+0.6*'Ход 2032'!B40)*POWER(MAX(0,1-'Китай 2032'!I34/10),0.7))))</f>
        <v>10</v>
      </c>
      <c r="C34" s="3">
        <f>MIN(1,(MIN(1,'Китай 2032'!C34+'Китай 2032'!F34+(0.08*LN(1+0.5*'Ход 2032'!C40)*MAX(0,1-('Китай 2032'!C34+'Китай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технологий'!$Q$25:$Q$240,'Эффекты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2032'!B35+'Китай 2032'!D35+('Китай 2032'!C35+'Китай 2032'!F35+'Китай 2032'!G35)+(0.35*LN(1+0.6*'Ход 2032'!B41)*POWER(MAX(0,1-'Китай 2032'!I35/10),0.7))))</f>
        <v>10</v>
      </c>
      <c r="C35" s="3">
        <f>MIN(1,(MIN(1,'Китай 2032'!C35+'Китай 2032'!F35+(0.08*LN(1+0.5*'Ход 2032'!C41)*MAX(0,1-('Китай 2032'!C35+'Китай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технологий'!$Q$25:$Q$240,'Эффекты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2032'!B36+'Китай 2032'!D36+('Китай 2032'!C36+'Китай 2032'!F36+'Китай 2032'!G36)+(0.35*LN(1+0.6*'Ход 2032'!B42)*POWER(MAX(0,1-'Китай 2032'!I36/10),0.7))))</f>
        <v>10</v>
      </c>
      <c r="C36" s="3">
        <f>MIN(1,(MIN(1,'Китай 2032'!C36+'Китай 2032'!F36+(0.08*LN(1+0.5*'Ход 2032'!C42)*MAX(0,1-('Китай 2032'!C36+'Китай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технологий'!$Q$25:$Q$240,'Эффекты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2032'!B37+'Китай 2032'!D37+('Китай 2032'!C37+'Китай 2032'!F37+'Китай 2032'!G37)+(0.35*LN(1+0.6*'Ход 2032'!B43)*POWER(MAX(0,1-'Китай 2032'!I37/10),0.7))))</f>
        <v>10</v>
      </c>
      <c r="C37" s="3">
        <f>MIN(1,(MIN(1,'Китай 2032'!C37+'Китай 2032'!F37+(0.08*LN(1+0.5*'Ход 2032'!C43)*MAX(0,1-('Китай 2032'!C37+'Китай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технологий'!$Q$25:$Q$240,'Эффекты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2032'!B38+'Китай 2032'!D38+('Китай 2032'!C38+'Китай 2032'!F38+'Китай 2032'!G38)+(0.35*LN(1+0.6*'Ход 2032'!B44)*POWER(MAX(0,1-'Китай 2032'!I38/10),0.7))))</f>
        <v>10</v>
      </c>
      <c r="C38" s="3">
        <f>MIN(1,(MIN(1,'Китай 2032'!C38+'Китай 2032'!F38+(0.08*LN(1+0.5*'Ход 2032'!C44)*MAX(0,1-('Китай 2032'!C38+'Китай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технологий'!$Q$25:$Q$240,'Эффекты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2032'!B39+'Китай 2032'!D39+('Китай 2032'!C39+'Китай 2032'!F39+'Китай 2032'!G39)+(0.35*LN(1+0.6*'Ход 2032'!B45)*POWER(MAX(0,1-'Китай 2032'!I39/10),0.7))))</f>
        <v>10</v>
      </c>
      <c r="C39" s="3">
        <f>MIN(1,(MIN(1,'Китай 2032'!C39+'Китай 2032'!F39+(0.08*LN(1+0.5*'Ход 2032'!C45)*MAX(0,1-('Китай 2032'!C39+'Китай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технологий'!$Q$25:$Q$240,'Эффекты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2032'!B40+'Китай 2032'!D40+('Китай 2032'!C40+'Китай 2032'!F40+'Китай 2032'!G40)+(0.35*LN(1+0.6*'Ход 2032'!B46)*POWER(MAX(0,1-'Китай 2032'!I40/10),0.7))))</f>
        <v>9.6999999999999975</v>
      </c>
      <c r="C40" s="3">
        <f>MIN(1,(MIN(1,'Китай 2032'!C40+'Китай 2032'!F40+(0.08*LN(1+0.5*'Ход 2032'!C46)*MAX(0,1-('Китай 2032'!C40+'Китай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9.6999999999999975</v>
      </c>
      <c r="J40" s="10">
        <f>SUMIFS('Эффекты технологий'!$Q$25:$Q$240,'Эффекты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2032'!B41+'Китай 2032'!D41+('Китай 2032'!C41+'Китай 2032'!F41+'Китай 2032'!G41)+(0.35*LN(1+0.6*'Ход 2032'!B47)*POWER(MAX(0,1-'Китай 2032'!I41/10),0.7))))</f>
        <v>10</v>
      </c>
      <c r="C41" s="3">
        <f>MIN(1,(MIN(1,'Китай 2032'!C41+'Китай 2032'!F41+(0.08*LN(1+0.5*'Ход 2032'!C47)*MAX(0,1-('Китай 2032'!C41+'Китай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технологий'!$Q$25:$Q$240,'Эффекты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2032'!B42+'Китай 2032'!D42+('Китай 2032'!C42+'Китай 2032'!F42+'Китай 2032'!G42)+(0.35*LN(1+0.6*'Ход 2032'!B48)*POWER(MAX(0,1-'Китай 2032'!I42/10),0.7))))</f>
        <v>10</v>
      </c>
      <c r="C42" s="3">
        <f>MIN(1,(MIN(1,'Китай 2032'!C42+'Китай 2032'!F42+(0.08*LN(1+0.5*'Ход 2032'!C48)*MAX(0,1-('Китай 2032'!C42+'Китай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технологий'!$Q$25:$Q$240,'Эффекты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2032'!B44+'Китай 2032'!D44+('Китай 2032'!C44+'Китай 2032'!F44+'Китай 2032'!G44)+(0.35*LN(1+0.6*'Ход 2032'!B50)*POWER(MAX(0,1-'Китай 2032'!I44/10),0.7))))</f>
        <v>9.3810609799022231</v>
      </c>
      <c r="C44" s="3">
        <f>MIN(1,(MIN(1,'Китай 2032'!C44+'Китай 2032'!F44+(0.08*LN(1+0.5*'Ход 2032'!C50)*MAX(0,1-('Китай 2032'!C44+'Китай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9.3810609799022231</v>
      </c>
      <c r="J44" s="10">
        <f>SUMIFS('Эффекты технологий'!$Q$25:$Q$240,'Эффекты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2032'!B45+'Китай 2032'!D45+('Китай 2032'!C45+'Китай 2032'!F45+'Китай 2032'!G45)+(0.35*LN(1+0.6*'Ход 2032'!B51)*POWER(MAX(0,1-'Китай 2032'!I45/10),0.7))))</f>
        <v>10</v>
      </c>
      <c r="C45" s="3">
        <f>MIN(1,(MIN(1,'Китай 2032'!C45+'Китай 2032'!F45+(0.08*LN(1+0.5*'Ход 2032'!C51)*MAX(0,1-('Китай 2032'!C45+'Китай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технологий'!$Q$25:$Q$240,'Эффекты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2032'!B46+'Китай 2032'!D46+('Китай 2032'!C46+'Китай 2032'!F46+'Китай 2032'!G46)+(0.35*LN(1+0.6*'Ход 2032'!B52)*POWER(MAX(0,1-'Китай 2032'!I46/10),0.7))))</f>
        <v>10</v>
      </c>
      <c r="C46" s="3">
        <f>MIN(1,(MIN(1,'Китай 2032'!C46+'Китай 2032'!F46+(0.08*LN(1+0.5*'Ход 2032'!C52)*MAX(0,1-('Китай 2032'!C46+'Китай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технологий'!$Q$25:$Q$240,'Эффекты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2032'!B47+'Китай 2032'!D47+('Китай 2032'!C47+'Китай 2032'!F47+'Китай 2032'!G47)+(0.35*LN(1+0.6*'Ход 2032'!B53)*POWER(MAX(0,1-'Китай 2032'!I47/10),0.7))))</f>
        <v>6.2460489997524125</v>
      </c>
      <c r="C47" s="3">
        <f>MIN(1,(MIN(1,'Китай 2032'!C47+'Китай 2032'!F47+(0.08*LN(1+0.5*'Ход 2032'!C53)*MAX(0,1-('Китай 2032'!C47+'Китай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6.2460489997524125</v>
      </c>
      <c r="J47" s="10">
        <f>SUMIFS('Эффекты технологий'!$Q$25:$Q$240,'Эффекты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2032'!B48+'Китай 2032'!D48+('Китай 2032'!C48+'Китай 2032'!F48+'Китай 2032'!G48)+(0.35*LN(1+0.6*'Ход 2032'!B54)*POWER(MAX(0,1-'Китай 2032'!I48/10),0.7))))</f>
        <v>8.850000000000005</v>
      </c>
      <c r="C48" s="3">
        <f>MIN(1,(MIN(1,'Китай 2032'!C48+'Китай 2032'!F48+(0.08*LN(1+0.5*'Ход 2032'!C54)*MAX(0,1-('Китай 2032'!C48+'Китай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8.850000000000005</v>
      </c>
      <c r="J48" s="10">
        <f>SUMIFS('Эффекты технологий'!$Q$25:$Q$240,'Эффекты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2032'!B49+'Китай 2032'!D49+('Китай 2032'!C49+'Китай 2032'!F49+'Китай 2032'!G49)+(0.35*LN(1+0.6*'Ход 2032'!B55)*POWER(MAX(0,1-'Китай 2032'!I49/10),0.7))))</f>
        <v>10</v>
      </c>
      <c r="C49" s="3">
        <f>MIN(1,(MIN(1,'Китай 2032'!C49+'Китай 2032'!F49+(0.08*LN(1+0.5*'Ход 2032'!C55)*MAX(0,1-('Китай 2032'!C49+'Китай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технологий'!$Q$25:$Q$240,'Эффекты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2032'!B50+'Китай 2032'!D50+('Китай 2032'!C50+'Китай 2032'!F50+'Китай 2032'!G50)+(0.35*LN(1+0.6*'Ход 2032'!B56)*POWER(MAX(0,1-'Китай 2032'!I50/10),0.7))))</f>
        <v>10</v>
      </c>
      <c r="C50" s="3">
        <f>MIN(1,(MIN(1,'Китай 2032'!C50+'Китай 2032'!F50+(0.08*LN(1+0.5*'Ход 2032'!C56)*MAX(0,1-('Китай 2032'!C50+'Китай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технологий'!$Q$25:$Q$240,'Эффекты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2032'!B51+'Китай 2032'!D51+('Китай 2032'!C51+'Китай 2032'!F51+'Китай 2032'!G51)+(0.35*LN(1+0.6*'Ход 2032'!B57)*POWER(MAX(0,1-'Китай 2032'!I51/10),0.7))))</f>
        <v>10</v>
      </c>
      <c r="C51" s="3">
        <f>MIN(1,(MIN(1,'Китай 2032'!C51+'Китай 2032'!F51+(0.08*LN(1+0.5*'Ход 2032'!C57)*MAX(0,1-('Китай 2032'!C51+'Китай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технологий'!$Q$25:$Q$240,'Эффекты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2032'!B53+'Китай 2032'!D53+('Китай 2032'!C53+'Китай 2032'!F53+'Китай 2032'!G53)+(0.35*LN(1+0.6*'Ход 2032'!B59)*POWER(MAX(0,1-'Китай 2032'!I53/10),0.7))))</f>
        <v>10</v>
      </c>
      <c r="C53" s="3">
        <f>MIN(1,(MIN(1,'Китай 2032'!C53+'Китай 2032'!F53+(0.08*LN(1+0.5*'Ход 2032'!C59)*MAX(0,1-('Китай 2032'!C53+'Китай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технологий'!$Q$25:$Q$240,'Эффекты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2032'!B54+'Китай 2032'!D54+('Китай 2032'!C54+'Китай 2032'!F54+'Китай 2032'!G54)+(0.35*LN(1+0.6*'Ход 2032'!B60)*POWER(MAX(0,1-'Китай 2032'!I54/10),0.7))))</f>
        <v>10</v>
      </c>
      <c r="C54" s="3">
        <f>MIN(1,(MIN(1,'Китай 2032'!C54+'Китай 2032'!F54+(0.08*LN(1+0.5*'Ход 2032'!C60)*MAX(0,1-('Китай 2032'!C54+'Китай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технологий'!$Q$25:$Q$240,'Эффекты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2032'!B55+'Китай 2032'!D55+('Китай 2032'!C55+'Китай 2032'!F55+'Китай 2032'!G55)+(0.35*LN(1+0.6*'Ход 2032'!B61)*POWER(MAX(0,1-'Китай 2032'!I55/10),0.7))))</f>
        <v>10</v>
      </c>
      <c r="C55" s="3">
        <f>MIN(1,(MIN(1,'Китай 2032'!C55+'Китай 2032'!F55+(0.08*LN(1+0.5*'Ход 2032'!C61)*MAX(0,1-('Китай 2032'!C55+'Китай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технологий'!$Q$25:$Q$240,'Эффекты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355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2033'!U6</f>
        <v>99.878570966569214</v>
      </c>
      <c r="C6" s="3"/>
      <c r="D6" s="3"/>
      <c r="E6" s="3" t="s">
        <v>321</v>
      </c>
      <c r="F6" s="3">
        <f>'Китай 2033'!K6</f>
        <v>98.992191345488337</v>
      </c>
      <c r="G6" s="3"/>
      <c r="H6" s="3"/>
      <c r="I6" s="3" t="s">
        <v>321</v>
      </c>
      <c r="J6" s="3">
        <f>'Китай 2033'!N6</f>
        <v>99.845883600533696</v>
      </c>
      <c r="K6" s="3"/>
      <c r="L6" s="3"/>
      <c r="M6" s="3" t="s">
        <v>321</v>
      </c>
      <c r="N6" s="3">
        <f>'Китай 2033'!Q6</f>
        <v>85.195200441228494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99.878570966569214</v>
      </c>
      <c r="C8" s="3" t="str">
        <f>IF(B8&lt;0,"ПРЕВЫШЕНИЕ","OK")</f>
        <v>OK</v>
      </c>
      <c r="D8" s="3"/>
      <c r="E8" s="3" t="s">
        <v>323</v>
      </c>
      <c r="F8" s="3">
        <f>F6-F7</f>
        <v>98.992191345488337</v>
      </c>
      <c r="G8" s="3" t="str">
        <f>IF(F8&lt;0,"ПРЕВЫШЕНИЕ","OK")</f>
        <v>OK</v>
      </c>
      <c r="H8" s="3"/>
      <c r="I8" s="3" t="s">
        <v>323</v>
      </c>
      <c r="J8" s="3">
        <f>J6-J7</f>
        <v>99.845883600533696</v>
      </c>
      <c r="K8" s="3" t="str">
        <f>IF(J8&lt;0,"ПРЕВЫШЕНИЕ","OK")</f>
        <v>OK</v>
      </c>
      <c r="L8" s="3"/>
      <c r="M8" s="3" t="s">
        <v>323</v>
      </c>
      <c r="N8" s="3">
        <f>N6-N7</f>
        <v>85.195200441228494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2033'!V11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2033'!V12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2033'!V13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2033'!V14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2033'!V15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2033'!V16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2033'!V17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2033'!V18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2033'!V19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2033'!V20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2033'!V21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2033'!V22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технологий'!Q$16</f>
        <v>0</v>
      </c>
      <c r="H25" s="11">
        <f>'Эффекты технологий'!Q$17</f>
        <v>0</v>
      </c>
      <c r="I25" s="11">
        <f>'Эффекты технологий'!Q$18</f>
        <v>0</v>
      </c>
      <c r="J25" s="12"/>
      <c r="K25" s="3"/>
      <c r="L25" s="3" t="s">
        <v>558</v>
      </c>
      <c r="M25" s="3">
        <f>'Китай 2033'!V23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2033'!V24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2033'!V25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2033'!V26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IF(G29="","",VLOOKUP(G29,Технологии!$A$11:$BF$50,51,FALSE))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IF(G30="","",VLOOKUP(G30,Технологии!$A$11:$BF$50,51,FALSE))</f>
        <v/>
      </c>
      <c r="L30" s="3"/>
      <c r="M30" s="3"/>
      <c r="N30" s="12" t="s">
        <v>340</v>
      </c>
      <c r="O30" s="11">
        <f>'Эффекты технологий'!Q$13</f>
        <v>0</v>
      </c>
      <c r="P30" s="11">
        <f>'Эффекты технологий'!Q$14</f>
        <v>0</v>
      </c>
      <c r="Q30" s="11">
        <f>'Эффекты технологий'!Q$15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IF(G31="","",VLOOKUP(G31,Технологии!$A$11:$BF$50,51,FALSE))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IF(G32="","",VLOOKUP(G32,Технологии!$A$11:$BF$50,51,FALSE))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IF(G33="","",VLOOKUP(G33,Технологии!$A$11:$BF$50,51,FALSE))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IF(G34="","",VLOOKUP(G34,Технологии!$A$11:$BF$50,51,FALSE))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IF(G35="","",VLOOKUP(G35,Технологии!$A$11:$BF$50,51,FALSE))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IF(G36="","",VLOOKUP(G36,Технологии!$A$11:$BF$50,51,FALSE))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IF(G37="","",VLOOKUP(G37,Технологии!$A$11:$BF$50,51,FALSE))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IF(G38="","",VLOOKUP(G38,Технологии!$A$11:$BF$50,51,FALSE))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573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99.182571078835011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99.884080466005884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85.294670732177593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99.90125017050299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2033'!B8+'Китай 2033'!D8+('Китай 2033'!C8+'Китай 2033'!F8+'Китай 2033'!G8)+(0.35*LN(1+0.6*('Ход 2033'!B14*(1+'Эффекты технологий'!Q$12)))*POWER(MAX(0,1-'Китай 2033'!I8/10),0.7))))</f>
        <v>9.9000000000000057</v>
      </c>
      <c r="C8" s="3">
        <f>MIN(1,(MIN(1,'Китай 2033'!C8+'Китай 2033'!F8+(0.08*LN(1+0.5*('Ход 2033'!C14*(1+'Эффекты технологий'!Q$12)))*MAX(0,1-('Китай 2033'!C8+'Китай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9.9000000000000057</v>
      </c>
      <c r="J8" s="10">
        <f>SUMIFS('Эффекты технологий'!$R$25:$R$240,'Эффекты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2033'!B9+'Китай 2033'!D9+('Китай 2033'!C9+'Китай 2033'!F9+'Китай 2033'!G9)+(0.35*LN(1+0.6*('Ход 2033'!B15*(1+'Эффекты технологий'!Q$12)))*POWER(MAX(0,1-'Китай 2033'!I9/10),0.7))))</f>
        <v>10</v>
      </c>
      <c r="C9" s="3">
        <f>MIN(1,(MIN(1,'Китай 2033'!C9+'Китай 2033'!F9+(0.08*LN(1+0.5*('Ход 2033'!C15*(1+'Эффекты технологий'!Q$12)))*MAX(0,1-('Китай 2033'!C9+'Китай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технологий'!$R$25:$R$240,'Эффекты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2033'!B10+'Китай 2033'!D10+('Китай 2033'!C10+'Китай 2033'!F10+'Китай 2033'!G10)+(0.35*LN(1+0.6*('Ход 2033'!B16*(1+'Эффекты технологий'!Q$12)))*POWER(MAX(0,1-'Китай 2033'!I10/10),0.7))))</f>
        <v>10</v>
      </c>
      <c r="C10" s="3">
        <f>MIN(1,(MIN(1,'Китай 2033'!C10+'Китай 2033'!F10+(0.08*LN(1+0.5*('Ход 2033'!C16*(1+'Эффекты технологий'!Q$12)))*MAX(0,1-('Китай 2033'!C10+'Китай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технологий'!$R$25:$R$240,'Эффекты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2033'!B11+'Китай 2033'!D11+('Китай 2033'!C11+'Китай 2033'!F11+'Китай 2033'!G11)+(0.35*LN(1+0.6*('Ход 2033'!B17*(1+'Эффекты технологий'!Q$12)))*POWER(MAX(0,1-'Китай 2033'!I11/10),0.7))))</f>
        <v>8.8794942615053749</v>
      </c>
      <c r="C11" s="3">
        <f>MIN(1,(MIN(1,'Китай 2033'!C11+'Китай 2033'!F11+(0.08*LN(1+0.5*('Ход 2033'!C17*(1+'Эффекты технологий'!Q$12)))*MAX(0,1-('Китай 2033'!C11+'Китай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8.8794942615053749</v>
      </c>
      <c r="J11" s="10">
        <f>SUMIFS('Эффекты технологий'!$R$25:$R$240,'Эффекты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2033'!L11+'Китай 2033'!N11+('Китай 2033'!M11+'Китай 2033'!P11+'Китай 2033'!Q11)))</f>
        <v>10</v>
      </c>
      <c r="M11" s="3">
        <f>MIN(1,(MIN(1,'Китай 2033'!M11+'Китай 2033'!P11+(0.1*LN(1+0.5*('Ход 2033'!H13*(1+'Эффекты технологий'!Q$10)))*POWER(MAX(0,1-'Китай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технологий'!$R$25:$R$240,'Эффекты технологий'!$C$25:$C$240,$K11,'Эффекты технологий'!$D$25:$D$240,"Значение")</f>
        <v>0</v>
      </c>
      <c r="U11" s="3" t="s">
        <v>534</v>
      </c>
      <c r="V11" s="7">
        <f>'Китай 2033'!V11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2033'!B12+'Китай 2033'!D12+('Китай 2033'!C12+'Китай 2033'!F12+'Китай 2033'!G12)+(0.35*LN(1+0.6*('Ход 2033'!B18*(1+'Эффекты технологий'!Q$12)))*POWER(MAX(0,1-'Китай 2033'!I12/10),0.7))))</f>
        <v>9.4000000000000057</v>
      </c>
      <c r="C12" s="3">
        <f>MIN(1,(MIN(1,'Китай 2033'!C12+'Китай 2033'!F12+(0.08*LN(1+0.5*('Ход 2033'!C18*(1+'Эффекты технологий'!Q$12)))*MAX(0,1-('Китай 2033'!C12+'Китай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9.4000000000000057</v>
      </c>
      <c r="J12" s="10">
        <f>SUMIFS('Эффекты технологий'!$R$25:$R$240,'Эффекты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2033'!L12+'Китай 2033'!N12+('Китай 2033'!M12+'Китай 2033'!P12+'Китай 2033'!Q12)))</f>
        <v>10</v>
      </c>
      <c r="M12" s="3">
        <f>MIN(1,(MIN(1,'Китай 2033'!M12+'Китай 2033'!P12+(0.1*LN(1+0.5*('Ход 2033'!H14*(1+'Эффекты технологий'!Q$10)))*POWER(MAX(0,1-'Китай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технологий'!$R$25:$R$240,'Эффекты технологий'!$C$25:$C$240,$K12,'Эффекты технологий'!$D$25:$D$240,"Значение")</f>
        <v>0</v>
      </c>
      <c r="U12" s="3" t="s">
        <v>536</v>
      </c>
      <c r="V12" s="7">
        <f>'Китай 2033'!V12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2033'!B13+'Китай 2033'!D13+('Китай 2033'!C13+'Китай 2033'!F13+'Китай 2033'!G13)+(0.35*LN(1+0.6*('Ход 2033'!B19*(1+'Эффекты технологий'!Q$12)))*POWER(MAX(0,1-'Китай 2033'!I13/10),0.7))))</f>
        <v>10</v>
      </c>
      <c r="C13" s="3">
        <f>MIN(1,(MIN(1,'Китай 2033'!C13+'Китай 2033'!F13+(0.08*LN(1+0.5*('Ход 2033'!C19*(1+'Эффекты технологий'!Q$12)))*MAX(0,1-('Китай 2033'!C13+'Китай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технологий'!$R$25:$R$240,'Эффекты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2033'!L13+'Китай 2033'!N13+('Китай 2033'!M13+'Китай 2033'!P13+'Китай 2033'!Q13)))</f>
        <v>10</v>
      </c>
      <c r="M13" s="3">
        <f>MIN(1,(MIN(1,'Китай 2033'!M13+'Китай 2033'!P13+(0.1*LN(1+0.5*('Ход 2033'!H15*(1+'Эффекты технологий'!Q$10)))*POWER(MAX(0,1-'Китай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технологий'!$R$25:$R$240,'Эффекты технологий'!$C$25:$C$240,$K13,'Эффекты технологий'!$D$25:$D$240,"Значение")</f>
        <v>0</v>
      </c>
      <c r="U13" s="3" t="s">
        <v>538</v>
      </c>
      <c r="V13" s="7">
        <f>'Китай 2033'!V13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2033'!B14+'Китай 2033'!D14+('Китай 2033'!C14+'Китай 2033'!F14+'Китай 2033'!G14)+(0.35*LN(1+0.6*('Ход 2033'!B20*(1+'Эффекты технологий'!Q$12)))*POWER(MAX(0,1-'Китай 2033'!I14/10),0.7))))</f>
        <v>10</v>
      </c>
      <c r="C14" s="3">
        <f>MIN(1,(MIN(1,'Китай 2033'!C14+'Китай 2033'!F14+(0.08*LN(1+0.5*('Ход 2033'!C20*(1+'Эффекты технологий'!Q$12)))*MAX(0,1-('Китай 2033'!C14+'Китай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технологий'!$R$25:$R$240,'Эффекты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2033'!L14+'Китай 2033'!N14+('Китай 2033'!M14+'Китай 2033'!P14+'Китай 2033'!Q14)))</f>
        <v>10</v>
      </c>
      <c r="M14" s="3">
        <f>MIN(1,(MIN(1,'Китай 2033'!M14+'Китай 2033'!P14+(0.1*LN(1+0.5*('Ход 2033'!H16*(1+'Эффекты технологий'!Q$10)))*POWER(MAX(0,1-'Китай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технологий'!$R$25:$R$240,'Эффекты технологий'!$C$25:$C$240,$K14,'Эффекты технологий'!$D$25:$D$240,"Значение")</f>
        <v>0</v>
      </c>
      <c r="U14" s="3" t="s">
        <v>540</v>
      </c>
      <c r="V14" s="7">
        <f>'Китай 2033'!V14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2033'!B15+'Китай 2033'!D15+('Китай 2033'!C15+'Китай 2033'!F15+'Китай 2033'!G15)+(0.35*LN(1+0.6*('Ход 2033'!B21*(1+'Эффекты технологий'!Q$12)))*POWER(MAX(0,1-'Китай 2033'!I15/10),0.7))))</f>
        <v>10</v>
      </c>
      <c r="C15" s="3">
        <f>MIN(1,(MIN(1,'Китай 2033'!C15+'Китай 2033'!F15+(0.08*LN(1+0.5*('Ход 2033'!C21*(1+'Эффекты технологий'!Q$12)))*MAX(0,1-('Китай 2033'!C15+'Китай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технологий'!$R$25:$R$240,'Эффекты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2033'!L15+'Китай 2033'!N15+('Китай 2033'!M15+'Китай 2033'!P15+'Китай 2033'!Q15)))</f>
        <v>10</v>
      </c>
      <c r="M15" s="3">
        <f>MIN(1,(MIN(1,'Китай 2033'!M15+'Китай 2033'!P15+(0.1*LN(1+0.5*('Ход 2033'!H17*(1+'Эффекты технологий'!Q$10)))*POWER(MAX(0,1-'Китай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технологий'!$R$25:$R$240,'Эффекты технологий'!$C$25:$C$240,$K15,'Эффекты технологий'!$D$25:$D$240,"Значение")</f>
        <v>0</v>
      </c>
      <c r="U15" s="3" t="s">
        <v>542</v>
      </c>
      <c r="V15" s="7">
        <f>'Китай 2033'!V15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2033'!B16+'Китай 2033'!D16+('Китай 2033'!C16+'Китай 2033'!F16+'Китай 2033'!G16)+(0.35*LN(1+0.6*('Ход 2033'!B22*(1+'Эффекты технологий'!Q$12)))*POWER(MAX(0,1-'Китай 2033'!I16/10),0.7))))</f>
        <v>10</v>
      </c>
      <c r="C16" s="3">
        <f>MIN(1,(MIN(1,'Китай 2033'!C16+'Китай 2033'!F16+(0.08*LN(1+0.5*('Ход 2033'!C22*(1+'Эффекты технологий'!Q$12)))*MAX(0,1-('Китай 2033'!C16+'Китай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технологий'!$R$25:$R$240,'Эффекты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2033'!L16+'Китай 2033'!N16+('Китай 2033'!M16+'Китай 2033'!P16+'Китай 2033'!Q16)))</f>
        <v>10</v>
      </c>
      <c r="M16" s="3">
        <f>MIN(1,(MIN(1,'Китай 2033'!M16+'Китай 2033'!P16+(0.1*LN(1+0.5*('Ход 2033'!H18*(1+'Эффекты технологий'!Q$10)))*POWER(MAX(0,1-'Китай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технологий'!$R$25:$R$240,'Эффекты технологий'!$C$25:$C$240,$K16,'Эффекты технологий'!$D$25:$D$240,"Значение")</f>
        <v>0</v>
      </c>
      <c r="U16" s="3" t="s">
        <v>544</v>
      </c>
      <c r="V16" s="7">
        <f>'Китай 2033'!V16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2033'!B17+'Китай 2033'!D17+('Китай 2033'!C17+'Китай 2033'!F17+'Китай 2033'!G17)+(0.35*LN(1+0.6*('Ход 2033'!B23*(1+'Эффекты технологий'!Q$12)))*POWER(MAX(0,1-'Китай 2033'!I17/10),0.7))))</f>
        <v>10</v>
      </c>
      <c r="C17" s="3">
        <f>MIN(1,(MIN(1,'Китай 2033'!C17+'Китай 2033'!F17+(0.08*LN(1+0.5*('Ход 2033'!C23*(1+'Эффекты технологий'!Q$12)))*MAX(0,1-('Китай 2033'!C17+'Китай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технологий'!$R$25:$R$240,'Эффекты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2033'!L17+'Китай 2033'!N17+('Китай 2033'!M17+'Китай 2033'!P17+'Китай 2033'!Q17)))</f>
        <v>10</v>
      </c>
      <c r="M17" s="3">
        <f>MIN(1,(MIN(1,'Китай 2033'!M17+'Китай 2033'!P17+(0.1*LN(1+0.5*('Ход 2033'!H19*(1+'Эффекты технологий'!Q$10)))*POWER(MAX(0,1-'Китай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технологий'!$R$25:$R$240,'Эффекты технологий'!$C$25:$C$240,$K17,'Эффекты технологий'!$D$25:$D$240,"Значение")</f>
        <v>0</v>
      </c>
      <c r="U17" s="3" t="s">
        <v>546</v>
      </c>
      <c r="V17" s="7">
        <f>'Китай 2033'!V17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2033'!L18+'Китай 2033'!N18+('Китай 2033'!M18+'Китай 2033'!P18+'Китай 2033'!Q18)))</f>
        <v>10</v>
      </c>
      <c r="M18" s="3">
        <f>MIN(1,(MIN(1,'Китай 2033'!M18+'Китай 2033'!P18+(0.1*LN(1+0.5*('Ход 2033'!H20*(1+'Эффекты технологий'!Q$10)))*POWER(MAX(0,1-'Китай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технологий'!$R$25:$R$240,'Эффекты технологий'!$C$25:$C$240,$K18,'Эффекты технологий'!$D$25:$D$240,"Значение")</f>
        <v>0</v>
      </c>
      <c r="U18" s="3" t="s">
        <v>548</v>
      </c>
      <c r="V18" s="7">
        <f>'Китай 2033'!V18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2033'!B19+'Китай 2033'!D19+('Китай 2033'!C19+'Китай 2033'!F19+'Китай 2033'!G19)+(0.35*LN(1+0.6*'Ход 2033'!B25)*POWER(MAX(0,1-'Китай 2033'!I19/10),0.7))))</f>
        <v>10</v>
      </c>
      <c r="C19" s="3">
        <f>MIN(1,(MIN(1,'Китай 2033'!C19+'Китай 2033'!F19+(0.08*LN(1+0.5*'Ход 2033'!C25)*MAX(0,1-('Китай 2033'!C19+'Китай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технологий'!$R$25:$R$240,'Эффекты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2033'!V19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2033'!B20+'Китай 2033'!D20+('Китай 2033'!C20+'Китай 2033'!F20+'Китай 2033'!G20)+(0.35*LN(1+0.6*'Ход 2033'!B26)*POWER(MAX(0,1-'Китай 2033'!I20/10),0.7))))</f>
        <v>10</v>
      </c>
      <c r="C20" s="3">
        <f>MIN(1,(MIN(1,'Китай 2033'!C20+'Китай 2033'!F20+(0.08*LN(1+0.5*'Ход 2033'!C26)*MAX(0,1-('Китай 2033'!C20+'Китай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технологий'!$R$25:$R$240,'Эффекты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2033'!V20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2033'!B21+'Китай 2033'!D21+('Китай 2033'!C21+'Китай 2033'!F21+'Китай 2033'!G21)+(0.35*LN(1+0.6*'Ход 2033'!B27)*POWER(MAX(0,1-'Китай 2033'!I21/10),0.7))))</f>
        <v>10</v>
      </c>
      <c r="C21" s="3">
        <f>MIN(1,(MIN(1,'Китай 2033'!C21+'Китай 2033'!F21+(0.08*LN(1+0.5*'Ход 2033'!C27)*MAX(0,1-('Китай 2033'!C21+'Китай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технологий'!$R$25:$R$240,'Эффекты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2033'!V21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2033'!B22+'Китай 2033'!D22+('Китай 2033'!C22+'Китай 2033'!F22+'Китай 2033'!G22)+(0.35*LN(1+0.6*'Ход 2033'!B28)*POWER(MAX(0,1-'Китай 2033'!I22/10),0.7))))</f>
        <v>10</v>
      </c>
      <c r="C22" s="3">
        <f>MIN(1,(MIN(1,'Китай 2033'!C22+'Китай 2033'!F22+(0.08*LN(1+0.5*'Ход 2033'!C28)*MAX(0,1-('Китай 2033'!C22+'Китай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технологий'!$R$25:$R$240,'Эффекты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2033'!V22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2033'!B23+'Китай 2033'!D23+('Китай 2033'!C23+'Китай 2033'!F23+'Китай 2033'!G23)+(0.35*LN(1+0.6*'Ход 2033'!B29)*POWER(MAX(0,1-'Китай 2033'!I23/10),0.7))))</f>
        <v>10</v>
      </c>
      <c r="C23" s="3">
        <f>MIN(1,(MIN(1,'Китай 2033'!C23+'Китай 2033'!F23+(0.08*LN(1+0.5*'Ход 2033'!C29)*MAX(0,1-('Китай 2033'!C23+'Китай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технологий'!$R$25:$R$240,'Эффекты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2033'!V23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2033'!V24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2033'!B25+'Китай 2033'!D25+('Китай 2033'!C25+'Китай 2033'!F25+'Китай 2033'!G25)+(0.35*LN(1+0.6*'Ход 2033'!B31)*POWER(MAX(0,1-'Китай 2033'!I25/10),0.7))))</f>
        <v>10</v>
      </c>
      <c r="C25" s="3">
        <f>MIN(1,(MIN(1,'Китай 2033'!C25+'Китай 2033'!F25+(0.08*LN(1+0.5*'Ход 2033'!C31)*MAX(0,1-('Китай 2033'!C25+'Китай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технологий'!$R$25:$R$240,'Эффекты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2033'!V25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2033'!B26+'Китай 2033'!D26+('Китай 2033'!C26+'Китай 2033'!F26+'Китай 2033'!G26)+(0.35*LN(1+0.6*'Ход 2033'!B32)*POWER(MAX(0,1-'Китай 2033'!I26/10),0.7))))</f>
        <v>10</v>
      </c>
      <c r="C26" s="3">
        <f>MIN(1,(MIN(1,'Китай 2033'!C26+'Китай 2033'!F26+(0.08*LN(1+0.5*'Ход 2033'!C32)*MAX(0,1-('Китай 2033'!C26+'Китай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технологий'!$R$25:$R$240,'Эффекты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2033'!V26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2033'!B27+'Китай 2033'!D27+('Китай 2033'!C27+'Китай 2033'!F27+'Китай 2033'!G27)+(0.35*LN(1+0.6*'Ход 2033'!B33)*POWER(MAX(0,1-'Китай 2033'!I27/10),0.7))))</f>
        <v>10</v>
      </c>
      <c r="C27" s="3">
        <f>MIN(1,(MIN(1,'Китай 2033'!C27+'Китай 2033'!F27+(0.08*LN(1+0.5*'Ход 2033'!C33)*MAX(0,1-('Китай 2033'!C27+'Китай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технологий'!$R$25:$R$240,'Эффекты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2033'!B28+'Китай 2033'!D28+('Китай 2033'!C28+'Китай 2033'!F28+'Китай 2033'!G28)+(0.35*LN(1+0.6*'Ход 2033'!B34)*POWER(MAX(0,1-'Китай 2033'!I28/10),0.7))))</f>
        <v>10</v>
      </c>
      <c r="C28" s="3">
        <f>MIN(1,(MIN(1,'Китай 2033'!C28+'Китай 2033'!F28+(0.08*LN(1+0.5*'Ход 2033'!C34)*MAX(0,1-('Китай 2033'!C28+'Китай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технологий'!$R$25:$R$240,'Эффекты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2033'!B29+'Китай 2033'!D29+('Китай 2033'!C29+'Китай 2033'!F29+'Китай 2033'!G29)+(0.35*LN(1+0.6*'Ход 2033'!B35)*POWER(MAX(0,1-'Китай 2033'!I29/10),0.7))))</f>
        <v>10</v>
      </c>
      <c r="C29" s="3">
        <f>MIN(1,(MIN(1,'Китай 2033'!C29+'Китай 2033'!F29+(0.08*LN(1+0.5*'Ход 2033'!C35)*MAX(0,1-('Китай 2033'!C29+'Китай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технологий'!$R$25:$R$240,'Эффекты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2033'!B30+'Китай 2033'!D30+('Китай 2033'!C30+'Китай 2033'!F30+'Китай 2033'!G30)+(0.35*LN(1+0.6*'Ход 2033'!B36)*POWER(MAX(0,1-'Китай 2033'!I30/10),0.7))))</f>
        <v>9.0999999999999961</v>
      </c>
      <c r="C30" s="3">
        <f>MIN(1,(MIN(1,'Китай 2033'!C30+'Китай 2033'!F30+(0.08*LN(1+0.5*'Ход 2033'!C36)*MAX(0,1-('Китай 2033'!C30+'Китай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9.0999999999999961</v>
      </c>
      <c r="J30" s="10">
        <f>SUMIFS('Эффекты технологий'!$R$25:$R$240,'Эффекты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2033'!B31+'Китай 2033'!D31+('Китай 2033'!C31+'Китай 2033'!F31+'Китай 2033'!G31)+(0.35*LN(1+0.6*'Ход 2033'!B37)*POWER(MAX(0,1-'Китай 2033'!I31/10),0.7))))</f>
        <v>9.0085392174903767</v>
      </c>
      <c r="C31" s="3">
        <f>MIN(1,(MIN(1,'Китай 2033'!C31+'Китай 2033'!F31+(0.08*LN(1+0.5*'Ход 2033'!C37)*MAX(0,1-('Китай 2033'!C31+'Китай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9.0085392174903767</v>
      </c>
      <c r="J31" s="10">
        <f>SUMIFS('Эффекты технологий'!$R$25:$R$240,'Эффекты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2033'!B32+'Китай 2033'!D32+('Китай 2033'!C32+'Китай 2033'!F32+'Китай 2033'!G32)+(0.35*LN(1+0.6*'Ход 2033'!B38)*POWER(MAX(0,1-'Китай 2033'!I32/10),0.7))))</f>
        <v>10</v>
      </c>
      <c r="C32" s="3">
        <f>MIN(1,(MIN(1,'Китай 2033'!C32+'Китай 2033'!F32+(0.08*LN(1+0.5*'Ход 2033'!C38)*MAX(0,1-('Китай 2033'!C32+'Китай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технологий'!$R$25:$R$240,'Эффекты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2033'!B34+'Китай 2033'!D34+('Китай 2033'!C34+'Китай 2033'!F34+'Китай 2033'!G34)+(0.35*LN(1+0.6*'Ход 2033'!B40)*POWER(MAX(0,1-'Китай 2033'!I34/10),0.7))))</f>
        <v>10</v>
      </c>
      <c r="C34" s="3">
        <f>MIN(1,(MIN(1,'Китай 2033'!C34+'Китай 2033'!F34+(0.08*LN(1+0.5*'Ход 2033'!C40)*MAX(0,1-('Китай 2033'!C34+'Китай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технологий'!$R$25:$R$240,'Эффекты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2033'!B35+'Китай 2033'!D35+('Китай 2033'!C35+'Китай 2033'!F35+'Китай 2033'!G35)+(0.35*LN(1+0.6*'Ход 2033'!B41)*POWER(MAX(0,1-'Китай 2033'!I35/10),0.7))))</f>
        <v>10</v>
      </c>
      <c r="C35" s="3">
        <f>MIN(1,(MIN(1,'Китай 2033'!C35+'Китай 2033'!F35+(0.08*LN(1+0.5*'Ход 2033'!C41)*MAX(0,1-('Китай 2033'!C35+'Китай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технологий'!$R$25:$R$240,'Эффекты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2033'!B36+'Китай 2033'!D36+('Китай 2033'!C36+'Китай 2033'!F36+'Китай 2033'!G36)+(0.35*LN(1+0.6*'Ход 2033'!B42)*POWER(MAX(0,1-'Китай 2033'!I36/10),0.7))))</f>
        <v>10</v>
      </c>
      <c r="C36" s="3">
        <f>MIN(1,(MIN(1,'Китай 2033'!C36+'Китай 2033'!F36+(0.08*LN(1+0.5*'Ход 2033'!C42)*MAX(0,1-('Китай 2033'!C36+'Китай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технологий'!$R$25:$R$240,'Эффекты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2033'!B37+'Китай 2033'!D37+('Китай 2033'!C37+'Китай 2033'!F37+'Китай 2033'!G37)+(0.35*LN(1+0.6*'Ход 2033'!B43)*POWER(MAX(0,1-'Китай 2033'!I37/10),0.7))))</f>
        <v>10</v>
      </c>
      <c r="C37" s="3">
        <f>MIN(1,(MIN(1,'Китай 2033'!C37+'Китай 2033'!F37+(0.08*LN(1+0.5*'Ход 2033'!C43)*MAX(0,1-('Китай 2033'!C37+'Китай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технологий'!$R$25:$R$240,'Эффекты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2033'!B38+'Китай 2033'!D38+('Китай 2033'!C38+'Китай 2033'!F38+'Китай 2033'!G38)+(0.35*LN(1+0.6*'Ход 2033'!B44)*POWER(MAX(0,1-'Китай 2033'!I38/10),0.7))))</f>
        <v>10</v>
      </c>
      <c r="C38" s="3">
        <f>MIN(1,(MIN(1,'Китай 2033'!C38+'Китай 2033'!F38+(0.08*LN(1+0.5*'Ход 2033'!C44)*MAX(0,1-('Китай 2033'!C38+'Китай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технологий'!$R$25:$R$240,'Эффекты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2033'!B39+'Китай 2033'!D39+('Китай 2033'!C39+'Китай 2033'!F39+'Китай 2033'!G39)+(0.35*LN(1+0.6*'Ход 2033'!B45)*POWER(MAX(0,1-'Китай 2033'!I39/10),0.7))))</f>
        <v>10</v>
      </c>
      <c r="C39" s="3">
        <f>MIN(1,(MIN(1,'Китай 2033'!C39+'Китай 2033'!F39+(0.08*LN(1+0.5*'Ход 2033'!C45)*MAX(0,1-('Китай 2033'!C39+'Китай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технологий'!$R$25:$R$240,'Эффекты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2033'!B40+'Китай 2033'!D40+('Китай 2033'!C40+'Китай 2033'!F40+'Китай 2033'!G40)+(0.35*LN(1+0.6*'Ход 2033'!B46)*POWER(MAX(0,1-'Китай 2033'!I40/10),0.7))))</f>
        <v>9.7999999999999972</v>
      </c>
      <c r="C40" s="3">
        <f>MIN(1,(MIN(1,'Китай 2033'!C40+'Китай 2033'!F40+(0.08*LN(1+0.5*'Ход 2033'!C46)*MAX(0,1-('Китай 2033'!C40+'Китай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9.7999999999999972</v>
      </c>
      <c r="J40" s="10">
        <f>SUMIFS('Эффекты технологий'!$R$25:$R$240,'Эффекты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2033'!B41+'Китай 2033'!D41+('Китай 2033'!C41+'Китай 2033'!F41+'Китай 2033'!G41)+(0.35*LN(1+0.6*'Ход 2033'!B47)*POWER(MAX(0,1-'Китай 2033'!I41/10),0.7))))</f>
        <v>10</v>
      </c>
      <c r="C41" s="3">
        <f>MIN(1,(MIN(1,'Китай 2033'!C41+'Китай 2033'!F41+(0.08*LN(1+0.5*'Ход 2033'!C47)*MAX(0,1-('Китай 2033'!C41+'Китай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технологий'!$R$25:$R$240,'Эффекты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2033'!B42+'Китай 2033'!D42+('Китай 2033'!C42+'Китай 2033'!F42+'Китай 2033'!G42)+(0.35*LN(1+0.6*'Ход 2033'!B48)*POWER(MAX(0,1-'Китай 2033'!I42/10),0.7))))</f>
        <v>10</v>
      </c>
      <c r="C42" s="3">
        <f>MIN(1,(MIN(1,'Китай 2033'!C42+'Китай 2033'!F42+(0.08*LN(1+0.5*'Ход 2033'!C48)*MAX(0,1-('Китай 2033'!C42+'Китай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технологий'!$R$25:$R$240,'Эффекты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2033'!B44+'Китай 2033'!D44+('Китай 2033'!C44+'Китай 2033'!F44+'Китай 2033'!G44)+(0.35*LN(1+0.6*'Ход 2033'!B50)*POWER(MAX(0,1-'Китай 2033'!I44/10),0.7))))</f>
        <v>9.6612378098859271</v>
      </c>
      <c r="C44" s="3">
        <f>MIN(1,(MIN(1,'Китай 2033'!C44+'Китай 2033'!F44+(0.08*LN(1+0.5*'Ход 2033'!C50)*MAX(0,1-('Китай 2033'!C44+'Китай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9.6612378098859271</v>
      </c>
      <c r="J44" s="10">
        <f>SUMIFS('Эффекты технологий'!$R$25:$R$240,'Эффекты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2033'!B45+'Китай 2033'!D45+('Китай 2033'!C45+'Китай 2033'!F45+'Китай 2033'!G45)+(0.35*LN(1+0.6*'Ход 2033'!B51)*POWER(MAX(0,1-'Китай 2033'!I45/10),0.7))))</f>
        <v>10</v>
      </c>
      <c r="C45" s="3">
        <f>MIN(1,(MIN(1,'Китай 2033'!C45+'Китай 2033'!F45+(0.08*LN(1+0.5*'Ход 2033'!C51)*MAX(0,1-('Китай 2033'!C45+'Китай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технологий'!$R$25:$R$240,'Эффекты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2033'!B46+'Китай 2033'!D46+('Китай 2033'!C46+'Китай 2033'!F46+'Китай 2033'!G46)+(0.35*LN(1+0.6*'Ход 2033'!B52)*POWER(MAX(0,1-'Китай 2033'!I46/10),0.7))))</f>
        <v>10</v>
      </c>
      <c r="C46" s="3">
        <f>MIN(1,(MIN(1,'Китай 2033'!C46+'Китай 2033'!F46+(0.08*LN(1+0.5*'Ход 2033'!C52)*MAX(0,1-('Китай 2033'!C46+'Китай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технологий'!$R$25:$R$240,'Эффекты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2033'!B47+'Китай 2033'!D47+('Китай 2033'!C47+'Китай 2033'!F47+'Китай 2033'!G47)+(0.35*LN(1+0.6*'Ход 2033'!B53)*POWER(MAX(0,1-'Китай 2033'!I47/10),0.7))))</f>
        <v>6.3037238330444811</v>
      </c>
      <c r="C47" s="3">
        <f>MIN(1,(MIN(1,'Китай 2033'!C47+'Китай 2033'!F47+(0.08*LN(1+0.5*'Ход 2033'!C53)*MAX(0,1-('Китай 2033'!C47+'Китай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6.3037238330444811</v>
      </c>
      <c r="J47" s="10">
        <f>SUMIFS('Эффекты технологий'!$R$25:$R$240,'Эффекты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2033'!B48+'Китай 2033'!D48+('Китай 2033'!C48+'Китай 2033'!F48+'Китай 2033'!G48)+(0.35*LN(1+0.6*'Ход 2033'!B54)*POWER(MAX(0,1-'Китай 2033'!I48/10),0.7))))</f>
        <v>8.9000000000000057</v>
      </c>
      <c r="C48" s="3">
        <f>MIN(1,(MIN(1,'Китай 2033'!C48+'Китай 2033'!F48+(0.08*LN(1+0.5*'Ход 2033'!C54)*MAX(0,1-('Китай 2033'!C48+'Китай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8.9000000000000057</v>
      </c>
      <c r="J48" s="10">
        <f>SUMIFS('Эффекты технологий'!$R$25:$R$240,'Эффекты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2033'!B49+'Китай 2033'!D49+('Китай 2033'!C49+'Китай 2033'!F49+'Китай 2033'!G49)+(0.35*LN(1+0.6*'Ход 2033'!B55)*POWER(MAX(0,1-'Китай 2033'!I49/10),0.7))))</f>
        <v>10</v>
      </c>
      <c r="C49" s="3">
        <f>MIN(1,(MIN(1,'Китай 2033'!C49+'Китай 2033'!F49+(0.08*LN(1+0.5*'Ход 2033'!C55)*MAX(0,1-('Китай 2033'!C49+'Китай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технологий'!$R$25:$R$240,'Эффекты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2033'!B50+'Китай 2033'!D50+('Китай 2033'!C50+'Китай 2033'!F50+'Китай 2033'!G50)+(0.35*LN(1+0.6*'Ход 2033'!B56)*POWER(MAX(0,1-'Китай 2033'!I50/10),0.7))))</f>
        <v>10</v>
      </c>
      <c r="C50" s="3">
        <f>MIN(1,(MIN(1,'Китай 2033'!C50+'Китай 2033'!F50+(0.08*LN(1+0.5*'Ход 2033'!C56)*MAX(0,1-('Китай 2033'!C50+'Китай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технологий'!$R$25:$R$240,'Эффекты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2033'!B51+'Китай 2033'!D51+('Китай 2033'!C51+'Китай 2033'!F51+'Китай 2033'!G51)+(0.35*LN(1+0.6*'Ход 2033'!B57)*POWER(MAX(0,1-'Китай 2033'!I51/10),0.7))))</f>
        <v>10</v>
      </c>
      <c r="C51" s="3">
        <f>MIN(1,(MIN(1,'Китай 2033'!C51+'Китай 2033'!F51+(0.08*LN(1+0.5*'Ход 2033'!C57)*MAX(0,1-('Китай 2033'!C51+'Китай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технологий'!$R$25:$R$240,'Эффекты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2033'!B53+'Китай 2033'!D53+('Китай 2033'!C53+'Китай 2033'!F53+'Китай 2033'!G53)+(0.35*LN(1+0.6*'Ход 2033'!B59)*POWER(MAX(0,1-'Китай 2033'!I53/10),0.7))))</f>
        <v>10</v>
      </c>
      <c r="C53" s="3">
        <f>MIN(1,(MIN(1,'Китай 2033'!C53+'Китай 2033'!F53+(0.08*LN(1+0.5*'Ход 2033'!C59)*MAX(0,1-('Китай 2033'!C53+'Китай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технологий'!$R$25:$R$240,'Эффекты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2033'!B54+'Китай 2033'!D54+('Китай 2033'!C54+'Китай 2033'!F54+'Китай 2033'!G54)+(0.35*LN(1+0.6*'Ход 2033'!B60)*POWER(MAX(0,1-'Китай 2033'!I54/10),0.7))))</f>
        <v>10</v>
      </c>
      <c r="C54" s="3">
        <f>MIN(1,(MIN(1,'Китай 2033'!C54+'Китай 2033'!F54+(0.08*LN(1+0.5*'Ход 2033'!C60)*MAX(0,1-('Китай 2033'!C54+'Китай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технологий'!$R$25:$R$240,'Эффекты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2033'!B55+'Китай 2033'!D55+('Китай 2033'!C55+'Китай 2033'!F55+'Китай 2033'!G55)+(0.35*LN(1+0.6*'Ход 2033'!B61)*POWER(MAX(0,1-'Китай 2033'!I55/10),0.7))))</f>
        <v>10</v>
      </c>
      <c r="C55" s="3">
        <f>MIN(1,(MIN(1,'Китай 2033'!C55+'Китай 2033'!F55+(0.08*LN(1+0.5*'Ход 2033'!C61)*MAX(0,1-('Китай 2033'!C55+'Китай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технологий'!$R$25:$R$240,'Эффекты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356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2034'!U6</f>
        <v>99.90125017050299</v>
      </c>
      <c r="C6" s="3"/>
      <c r="D6" s="3"/>
      <c r="E6" s="3" t="s">
        <v>321</v>
      </c>
      <c r="F6" s="3">
        <f>'Китай 2034'!K6</f>
        <v>99.182571078835011</v>
      </c>
      <c r="G6" s="3"/>
      <c r="H6" s="3"/>
      <c r="I6" s="3" t="s">
        <v>321</v>
      </c>
      <c r="J6" s="3">
        <f>'Китай 2034'!N6</f>
        <v>99.884080466005884</v>
      </c>
      <c r="K6" s="3"/>
      <c r="L6" s="3"/>
      <c r="M6" s="3" t="s">
        <v>321</v>
      </c>
      <c r="N6" s="3">
        <f>'Китай 2034'!Q6</f>
        <v>85.294670732177593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99.90125017050299</v>
      </c>
      <c r="C8" s="3" t="str">
        <f>IF(B8&lt;0,"ПРЕВЫШЕНИЕ","OK")</f>
        <v>OK</v>
      </c>
      <c r="D8" s="3"/>
      <c r="E8" s="3" t="s">
        <v>323</v>
      </c>
      <c r="F8" s="3">
        <f>F6-F7</f>
        <v>99.182571078835011</v>
      </c>
      <c r="G8" s="3" t="str">
        <f>IF(F8&lt;0,"ПРЕВЫШЕНИЕ","OK")</f>
        <v>OK</v>
      </c>
      <c r="H8" s="3"/>
      <c r="I8" s="3" t="s">
        <v>323</v>
      </c>
      <c r="J8" s="3">
        <f>J6-J7</f>
        <v>99.884080466005884</v>
      </c>
      <c r="K8" s="3" t="str">
        <f>IF(J8&lt;0,"ПРЕВЫШЕНИЕ","OK")</f>
        <v>OK</v>
      </c>
      <c r="L8" s="3"/>
      <c r="M8" s="3" t="s">
        <v>323</v>
      </c>
      <c r="N8" s="3">
        <f>N6-N7</f>
        <v>85.294670732177593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2034'!V11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2034'!V12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2034'!V13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2034'!V14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2034'!V15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2034'!V16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2034'!V17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2034'!V18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2034'!V19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2034'!V20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2034'!V21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2034'!V22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технологий'!R$16</f>
        <v>0</v>
      </c>
      <c r="H25" s="11">
        <f>'Эффекты технологий'!R$17</f>
        <v>0</v>
      </c>
      <c r="I25" s="11">
        <f>'Эффекты технологий'!R$18</f>
        <v>0</v>
      </c>
      <c r="J25" s="12"/>
      <c r="K25" s="3"/>
      <c r="L25" s="3" t="s">
        <v>558</v>
      </c>
      <c r="M25" s="3">
        <f>'Китай 2034'!V23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2034'!V24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2034'!V25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2034'!V26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IF(G29="","",VLOOKUP(G29,Технологии!$A$11:$BF$50,52,FALSE))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IF(G30="","",VLOOKUP(G30,Технологии!$A$11:$BF$50,52,FALSE))</f>
        <v/>
      </c>
      <c r="L30" s="3"/>
      <c r="M30" s="3"/>
      <c r="N30" s="12" t="s">
        <v>340</v>
      </c>
      <c r="O30" s="11">
        <f>'Эффекты технологий'!R$13</f>
        <v>0</v>
      </c>
      <c r="P30" s="11">
        <f>'Эффекты технологий'!R$14</f>
        <v>0</v>
      </c>
      <c r="Q30" s="11">
        <f>'Эффекты технологий'!R$15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IF(G31="","",VLOOKUP(G31,Технологии!$A$11:$BF$50,52,FALSE))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IF(G32="","",VLOOKUP(G32,Технологии!$A$11:$BF$50,52,FALSE))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IF(G33="","",VLOOKUP(G33,Технологии!$A$11:$BF$50,52,FALSE))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IF(G34="","",VLOOKUP(G34,Технологии!$A$11:$BF$50,52,FALSE))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IF(G35="","",VLOOKUP(G35,Технологии!$A$11:$BF$50,52,FALSE))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IF(G36="","",VLOOKUP(G36,Технологии!$A$11:$BF$50,52,FALSE))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IF(G37="","",VLOOKUP(G37,Технологии!$A$11:$BF$50,52,FALSE))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IF(G38="","",VLOOKUP(G38,Технологии!$A$11:$BF$50,52,FALSE))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99.330660096610117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99.92129413651179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85.393294726100692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99.923387762281791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2034'!B8+'Китай 2034'!D8+('Китай 2034'!C8+'Китай 2034'!F8+'Китай 2034'!G8)+(0.35*LN(1+0.6*('Ход 2034'!B14*(1+'Эффекты технологий'!R$12)))*POWER(MAX(0,1-'Китай 2034'!I8/10),0.7))))</f>
        <v>9.9500000000000064</v>
      </c>
      <c r="C8" s="3">
        <f>MIN(1,(MIN(1,'Китай 2034'!C8+'Китай 2034'!F8+(0.08*LN(1+0.5*('Ход 2034'!C14*(1+'Эффекты технологий'!R$12)))*MAX(0,1-('Китай 2034'!C8+'Китай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9.9500000000000064</v>
      </c>
      <c r="J8" s="10">
        <f>SUMIFS('Эффекты технологий'!$S$25:$S$240,'Эффекты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2034'!B9+'Китай 2034'!D9+('Китай 2034'!C9+'Китай 2034'!F9+'Китай 2034'!G9)+(0.35*LN(1+0.6*('Ход 2034'!B15*(1+'Эффекты технологий'!R$12)))*POWER(MAX(0,1-'Китай 2034'!I9/10),0.7))))</f>
        <v>10</v>
      </c>
      <c r="C9" s="3">
        <f>MIN(1,(MIN(1,'Китай 2034'!C9+'Китай 2034'!F9+(0.08*LN(1+0.5*('Ход 2034'!C15*(1+'Эффекты технологий'!R$12)))*MAX(0,1-('Китай 2034'!C9+'Китай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технологий'!$S$25:$S$240,'Эффекты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2034'!B10+'Китай 2034'!D10+('Китай 2034'!C10+'Китай 2034'!F10+'Китай 2034'!G10)+(0.35*LN(1+0.6*('Ход 2034'!B16*(1+'Эффекты технологий'!R$12)))*POWER(MAX(0,1-'Китай 2034'!I10/10),0.7))))</f>
        <v>10</v>
      </c>
      <c r="C10" s="3">
        <f>MIN(1,(MIN(1,'Китай 2034'!C10+'Китай 2034'!F10+(0.08*LN(1+0.5*('Ход 2034'!C16*(1+'Эффекты технологий'!R$12)))*MAX(0,1-('Китай 2034'!C10+'Китай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технологий'!$S$25:$S$240,'Эффекты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2034'!B11+'Китай 2034'!D11+('Китай 2034'!C11+'Китай 2034'!F11+'Китай 2034'!G11)+(0.35*LN(1+0.6*('Ход 2034'!B17*(1+'Эффекты технологий'!R$12)))*POWER(MAX(0,1-'Китай 2034'!I11/10),0.7))))</f>
        <v>9.1513339054128835</v>
      </c>
      <c r="C11" s="3">
        <f>MIN(1,(MIN(1,'Китай 2034'!C11+'Китай 2034'!F11+(0.08*LN(1+0.5*('Ход 2034'!C17*(1+'Эффекты технологий'!R$12)))*MAX(0,1-('Китай 2034'!C11+'Китай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9.1513339054128835</v>
      </c>
      <c r="J11" s="10">
        <f>SUMIFS('Эффекты технологий'!$S$25:$S$240,'Эффекты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2034'!L11+'Китай 2034'!N11+('Китай 2034'!M11+'Китай 2034'!P11+'Китай 2034'!Q11)))</f>
        <v>10</v>
      </c>
      <c r="M11" s="3">
        <f>MIN(1,(MIN(1,'Китай 2034'!M11+'Китай 2034'!P11+(0.1*LN(1+0.5*('Ход 2034'!H13*(1+'Эффекты технологий'!R$10)))*POWER(MAX(0,1-'Китай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технологий'!$S$25:$S$240,'Эффекты технологий'!$C$25:$C$240,$K11,'Эффекты технологий'!$D$25:$D$240,"Значение")</f>
        <v>0</v>
      </c>
      <c r="U11" s="3" t="s">
        <v>534</v>
      </c>
      <c r="V11" s="7">
        <f>'Китай 2034'!V11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2034'!B12+'Китай 2034'!D12+('Китай 2034'!C12+'Китай 2034'!F12+'Китай 2034'!G12)+(0.35*LN(1+0.6*('Ход 2034'!B18*(1+'Эффекты технологий'!R$12)))*POWER(MAX(0,1-'Китай 2034'!I12/10),0.7))))</f>
        <v>9.4500000000000064</v>
      </c>
      <c r="C12" s="3">
        <f>MIN(1,(MIN(1,'Китай 2034'!C12+'Китай 2034'!F12+(0.08*LN(1+0.5*('Ход 2034'!C18*(1+'Эффекты технологий'!R$12)))*MAX(0,1-('Китай 2034'!C12+'Китай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9.4500000000000064</v>
      </c>
      <c r="J12" s="10">
        <f>SUMIFS('Эффекты технологий'!$S$25:$S$240,'Эффекты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2034'!L12+'Китай 2034'!N12+('Китай 2034'!M12+'Китай 2034'!P12+'Китай 2034'!Q12)))</f>
        <v>10</v>
      </c>
      <c r="M12" s="3">
        <f>MIN(1,(MIN(1,'Китай 2034'!M12+'Китай 2034'!P12+(0.1*LN(1+0.5*('Ход 2034'!H14*(1+'Эффекты технологий'!R$10)))*POWER(MAX(0,1-'Китай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технологий'!$S$25:$S$240,'Эффекты технологий'!$C$25:$C$240,$K12,'Эффекты технологий'!$D$25:$D$240,"Значение")</f>
        <v>0</v>
      </c>
      <c r="U12" s="3" t="s">
        <v>536</v>
      </c>
      <c r="V12" s="7">
        <f>'Китай 2034'!V12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2034'!B13+'Китай 2034'!D13+('Китай 2034'!C13+'Китай 2034'!F13+'Китай 2034'!G13)+(0.35*LN(1+0.6*('Ход 2034'!B19*(1+'Эффекты технологий'!R$12)))*POWER(MAX(0,1-'Китай 2034'!I13/10),0.7))))</f>
        <v>10</v>
      </c>
      <c r="C13" s="3">
        <f>MIN(1,(MIN(1,'Китай 2034'!C13+'Китай 2034'!F13+(0.08*LN(1+0.5*('Ход 2034'!C19*(1+'Эффекты технологий'!R$12)))*MAX(0,1-('Китай 2034'!C13+'Китай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технологий'!$S$25:$S$240,'Эффекты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2034'!L13+'Китай 2034'!N13+('Китай 2034'!M13+'Китай 2034'!P13+'Китай 2034'!Q13)))</f>
        <v>10</v>
      </c>
      <c r="M13" s="3">
        <f>MIN(1,(MIN(1,'Китай 2034'!M13+'Китай 2034'!P13+(0.1*LN(1+0.5*('Ход 2034'!H15*(1+'Эффекты технологий'!R$10)))*POWER(MAX(0,1-'Китай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технологий'!$S$25:$S$240,'Эффекты технологий'!$C$25:$C$240,$K13,'Эффекты технологий'!$D$25:$D$240,"Значение")</f>
        <v>0</v>
      </c>
      <c r="U13" s="3" t="s">
        <v>538</v>
      </c>
      <c r="V13" s="7">
        <f>'Китай 2034'!V13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2034'!B14+'Китай 2034'!D14+('Китай 2034'!C14+'Китай 2034'!F14+'Китай 2034'!G14)+(0.35*LN(1+0.6*('Ход 2034'!B20*(1+'Эффекты технологий'!R$12)))*POWER(MAX(0,1-'Китай 2034'!I14/10),0.7))))</f>
        <v>10</v>
      </c>
      <c r="C14" s="3">
        <f>MIN(1,(MIN(1,'Китай 2034'!C14+'Китай 2034'!F14+(0.08*LN(1+0.5*('Ход 2034'!C20*(1+'Эффекты технологий'!R$12)))*MAX(0,1-('Китай 2034'!C14+'Китай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технологий'!$S$25:$S$240,'Эффекты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2034'!L14+'Китай 2034'!N14+('Китай 2034'!M14+'Китай 2034'!P14+'Китай 2034'!Q14)))</f>
        <v>10</v>
      </c>
      <c r="M14" s="3">
        <f>MIN(1,(MIN(1,'Китай 2034'!M14+'Китай 2034'!P14+(0.1*LN(1+0.5*('Ход 2034'!H16*(1+'Эффекты технологий'!R$10)))*POWER(MAX(0,1-'Китай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технологий'!$S$25:$S$240,'Эффекты технологий'!$C$25:$C$240,$K14,'Эффекты технологий'!$D$25:$D$240,"Значение")</f>
        <v>0</v>
      </c>
      <c r="U14" s="3" t="s">
        <v>540</v>
      </c>
      <c r="V14" s="7">
        <f>'Китай 2034'!V14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2034'!B15+'Китай 2034'!D15+('Китай 2034'!C15+'Китай 2034'!F15+'Китай 2034'!G15)+(0.35*LN(1+0.6*('Ход 2034'!B21*(1+'Эффекты технологий'!R$12)))*POWER(MAX(0,1-'Китай 2034'!I15/10),0.7))))</f>
        <v>10</v>
      </c>
      <c r="C15" s="3">
        <f>MIN(1,(MIN(1,'Китай 2034'!C15+'Китай 2034'!F15+(0.08*LN(1+0.5*('Ход 2034'!C21*(1+'Эффекты технологий'!R$12)))*MAX(0,1-('Китай 2034'!C15+'Китай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технологий'!$S$25:$S$240,'Эффекты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2034'!L15+'Китай 2034'!N15+('Китай 2034'!M15+'Китай 2034'!P15+'Китай 2034'!Q15)))</f>
        <v>10</v>
      </c>
      <c r="M15" s="3">
        <f>MIN(1,(MIN(1,'Китай 2034'!M15+'Китай 2034'!P15+(0.1*LN(1+0.5*('Ход 2034'!H17*(1+'Эффекты технологий'!R$10)))*POWER(MAX(0,1-'Китай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технологий'!$S$25:$S$240,'Эффекты технологий'!$C$25:$C$240,$K15,'Эффекты технологий'!$D$25:$D$240,"Значение")</f>
        <v>0</v>
      </c>
      <c r="U15" s="3" t="s">
        <v>542</v>
      </c>
      <c r="V15" s="7">
        <f>'Китай 2034'!V15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2034'!B16+'Китай 2034'!D16+('Китай 2034'!C16+'Китай 2034'!F16+'Китай 2034'!G16)+(0.35*LN(1+0.6*('Ход 2034'!B22*(1+'Эффекты технологий'!R$12)))*POWER(MAX(0,1-'Китай 2034'!I16/10),0.7))))</f>
        <v>10</v>
      </c>
      <c r="C16" s="3">
        <f>MIN(1,(MIN(1,'Китай 2034'!C16+'Китай 2034'!F16+(0.08*LN(1+0.5*('Ход 2034'!C22*(1+'Эффекты технологий'!R$12)))*MAX(0,1-('Китай 2034'!C16+'Китай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технологий'!$S$25:$S$240,'Эффекты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2034'!L16+'Китай 2034'!N16+('Китай 2034'!M16+'Китай 2034'!P16+'Китай 2034'!Q16)))</f>
        <v>10</v>
      </c>
      <c r="M16" s="3">
        <f>MIN(1,(MIN(1,'Китай 2034'!M16+'Китай 2034'!P16+(0.1*LN(1+0.5*('Ход 2034'!H18*(1+'Эффекты технологий'!R$10)))*POWER(MAX(0,1-'Китай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технологий'!$S$25:$S$240,'Эффекты технологий'!$C$25:$C$240,$K16,'Эффекты технологий'!$D$25:$D$240,"Значение")</f>
        <v>0</v>
      </c>
      <c r="U16" s="3" t="s">
        <v>544</v>
      </c>
      <c r="V16" s="7">
        <f>'Китай 2034'!V16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2034'!B17+'Китай 2034'!D17+('Китай 2034'!C17+'Китай 2034'!F17+'Китай 2034'!G17)+(0.35*LN(1+0.6*('Ход 2034'!B23*(1+'Эффекты технологий'!R$12)))*POWER(MAX(0,1-'Китай 2034'!I17/10),0.7))))</f>
        <v>10</v>
      </c>
      <c r="C17" s="3">
        <f>MIN(1,(MIN(1,'Китай 2034'!C17+'Китай 2034'!F17+(0.08*LN(1+0.5*('Ход 2034'!C23*(1+'Эффекты технологий'!R$12)))*MAX(0,1-('Китай 2034'!C17+'Китай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технологий'!$S$25:$S$240,'Эффекты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2034'!L17+'Китай 2034'!N17+('Китай 2034'!M17+'Китай 2034'!P17+'Китай 2034'!Q17)))</f>
        <v>10</v>
      </c>
      <c r="M17" s="3">
        <f>MIN(1,(MIN(1,'Китай 2034'!M17+'Китай 2034'!P17+(0.1*LN(1+0.5*('Ход 2034'!H19*(1+'Эффекты технологий'!R$10)))*POWER(MAX(0,1-'Китай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технологий'!$S$25:$S$240,'Эффекты технологий'!$C$25:$C$240,$K17,'Эффекты технологий'!$D$25:$D$240,"Значение")</f>
        <v>0</v>
      </c>
      <c r="U17" s="3" t="s">
        <v>546</v>
      </c>
      <c r="V17" s="7">
        <f>'Китай 2034'!V17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2034'!L18+'Китай 2034'!N18+('Китай 2034'!M18+'Китай 2034'!P18+'Китай 2034'!Q18)))</f>
        <v>10</v>
      </c>
      <c r="M18" s="3">
        <f>MIN(1,(MIN(1,'Китай 2034'!M18+'Китай 2034'!P18+(0.1*LN(1+0.5*('Ход 2034'!H20*(1+'Эффекты технологий'!R$10)))*POWER(MAX(0,1-'Китай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технологий'!$S$25:$S$240,'Эффекты технологий'!$C$25:$C$240,$K18,'Эффекты технологий'!$D$25:$D$240,"Значение")</f>
        <v>0</v>
      </c>
      <c r="U18" s="3" t="s">
        <v>548</v>
      </c>
      <c r="V18" s="7">
        <f>'Китай 2034'!V18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2034'!B19+'Китай 2034'!D19+('Китай 2034'!C19+'Китай 2034'!F19+'Китай 2034'!G19)+(0.35*LN(1+0.6*'Ход 2034'!B25)*POWER(MAX(0,1-'Китай 2034'!I19/10),0.7))))</f>
        <v>10</v>
      </c>
      <c r="C19" s="3">
        <f>MIN(1,(MIN(1,'Китай 2034'!C19+'Китай 2034'!F19+(0.08*LN(1+0.5*'Ход 2034'!C25)*MAX(0,1-('Китай 2034'!C19+'Китай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технологий'!$S$25:$S$240,'Эффекты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2034'!V19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2034'!B20+'Китай 2034'!D20+('Китай 2034'!C20+'Китай 2034'!F20+'Китай 2034'!G20)+(0.35*LN(1+0.6*'Ход 2034'!B26)*POWER(MAX(0,1-'Китай 2034'!I20/10),0.7))))</f>
        <v>10</v>
      </c>
      <c r="C20" s="3">
        <f>MIN(1,(MIN(1,'Китай 2034'!C20+'Китай 2034'!F20+(0.08*LN(1+0.5*'Ход 2034'!C26)*MAX(0,1-('Китай 2034'!C20+'Китай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технологий'!$S$25:$S$240,'Эффекты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2034'!V20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2034'!B21+'Китай 2034'!D21+('Китай 2034'!C21+'Китай 2034'!F21+'Китай 2034'!G21)+(0.35*LN(1+0.6*'Ход 2034'!B27)*POWER(MAX(0,1-'Китай 2034'!I21/10),0.7))))</f>
        <v>10</v>
      </c>
      <c r="C21" s="3">
        <f>MIN(1,(MIN(1,'Китай 2034'!C21+'Китай 2034'!F21+(0.08*LN(1+0.5*'Ход 2034'!C27)*MAX(0,1-('Китай 2034'!C21+'Китай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технологий'!$S$25:$S$240,'Эффекты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2034'!V21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2034'!B22+'Китай 2034'!D22+('Китай 2034'!C22+'Китай 2034'!F22+'Китай 2034'!G22)+(0.35*LN(1+0.6*'Ход 2034'!B28)*POWER(MAX(0,1-'Китай 2034'!I22/10),0.7))))</f>
        <v>10</v>
      </c>
      <c r="C22" s="3">
        <f>MIN(1,(MIN(1,'Китай 2034'!C22+'Китай 2034'!F22+(0.08*LN(1+0.5*'Ход 2034'!C28)*MAX(0,1-('Китай 2034'!C22+'Китай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технологий'!$S$25:$S$240,'Эффекты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2034'!V22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2034'!B23+'Китай 2034'!D23+('Китай 2034'!C23+'Китай 2034'!F23+'Китай 2034'!G23)+(0.35*LN(1+0.6*'Ход 2034'!B29)*POWER(MAX(0,1-'Китай 2034'!I23/10),0.7))))</f>
        <v>10</v>
      </c>
      <c r="C23" s="3">
        <f>MIN(1,(MIN(1,'Китай 2034'!C23+'Китай 2034'!F23+(0.08*LN(1+0.5*'Ход 2034'!C29)*MAX(0,1-('Китай 2034'!C23+'Китай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технологий'!$S$25:$S$240,'Эффекты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2034'!V23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2034'!V24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2034'!B25+'Китай 2034'!D25+('Китай 2034'!C25+'Китай 2034'!F25+'Китай 2034'!G25)+(0.35*LN(1+0.6*'Ход 2034'!B31)*POWER(MAX(0,1-'Китай 2034'!I25/10),0.7))))</f>
        <v>10</v>
      </c>
      <c r="C25" s="3">
        <f>MIN(1,(MIN(1,'Китай 2034'!C25+'Китай 2034'!F25+(0.08*LN(1+0.5*'Ход 2034'!C31)*MAX(0,1-('Китай 2034'!C25+'Китай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технологий'!$S$25:$S$240,'Эффекты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2034'!V25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2034'!B26+'Китай 2034'!D26+('Китай 2034'!C26+'Китай 2034'!F26+'Китай 2034'!G26)+(0.35*LN(1+0.6*'Ход 2034'!B32)*POWER(MAX(0,1-'Китай 2034'!I26/10),0.7))))</f>
        <v>10</v>
      </c>
      <c r="C26" s="3">
        <f>MIN(1,(MIN(1,'Китай 2034'!C26+'Китай 2034'!F26+(0.08*LN(1+0.5*'Ход 2034'!C32)*MAX(0,1-('Китай 2034'!C26+'Китай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технологий'!$S$25:$S$240,'Эффекты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2034'!V26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2034'!B27+'Китай 2034'!D27+('Китай 2034'!C27+'Китай 2034'!F27+'Китай 2034'!G27)+(0.35*LN(1+0.6*'Ход 2034'!B33)*POWER(MAX(0,1-'Китай 2034'!I27/10),0.7))))</f>
        <v>10</v>
      </c>
      <c r="C27" s="3">
        <f>MIN(1,(MIN(1,'Китай 2034'!C27+'Китай 2034'!F27+(0.08*LN(1+0.5*'Ход 2034'!C33)*MAX(0,1-('Китай 2034'!C27+'Китай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технологий'!$S$25:$S$240,'Эффекты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2034'!B28+'Китай 2034'!D28+('Китай 2034'!C28+'Китай 2034'!F28+'Китай 2034'!G28)+(0.35*LN(1+0.6*'Ход 2034'!B34)*POWER(MAX(0,1-'Китай 2034'!I28/10),0.7))))</f>
        <v>10</v>
      </c>
      <c r="C28" s="3">
        <f>MIN(1,(MIN(1,'Китай 2034'!C28+'Китай 2034'!F28+(0.08*LN(1+0.5*'Ход 2034'!C34)*MAX(0,1-('Китай 2034'!C28+'Китай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технологий'!$S$25:$S$240,'Эффекты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2034'!B29+'Китай 2034'!D29+('Китай 2034'!C29+'Китай 2034'!F29+'Китай 2034'!G29)+(0.35*LN(1+0.6*'Ход 2034'!B35)*POWER(MAX(0,1-'Китай 2034'!I29/10),0.7))))</f>
        <v>10</v>
      </c>
      <c r="C29" s="3">
        <f>MIN(1,(MIN(1,'Китай 2034'!C29+'Китай 2034'!F29+(0.08*LN(1+0.5*'Ход 2034'!C35)*MAX(0,1-('Китай 2034'!C29+'Китай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технологий'!$S$25:$S$240,'Эффекты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2034'!B30+'Китай 2034'!D30+('Китай 2034'!C30+'Китай 2034'!F30+'Китай 2034'!G30)+(0.35*LN(1+0.6*'Ход 2034'!B36)*POWER(MAX(0,1-'Китай 2034'!I30/10),0.7))))</f>
        <v>9.2999999999999954</v>
      </c>
      <c r="C30" s="3">
        <f>MIN(1,(MIN(1,'Китай 2034'!C30+'Китай 2034'!F30+(0.08*LN(1+0.5*'Ход 2034'!C36)*MAX(0,1-('Китай 2034'!C30+'Китай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9.2999999999999954</v>
      </c>
      <c r="J30" s="10">
        <f>SUMIFS('Эффекты технологий'!$S$25:$S$240,'Эффекты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2034'!B31+'Китай 2034'!D31+('Китай 2034'!C31+'Китай 2034'!F31+'Китай 2034'!G31)+(0.35*LN(1+0.6*'Ход 2034'!B37)*POWER(MAX(0,1-'Китай 2034'!I31/10),0.7))))</f>
        <v>9.2811876771318591</v>
      </c>
      <c r="C31" s="3">
        <f>MIN(1,(MIN(1,'Китай 2034'!C31+'Китай 2034'!F31+(0.08*LN(1+0.5*'Ход 2034'!C37)*MAX(0,1-('Китай 2034'!C31+'Китай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9.2811876771318591</v>
      </c>
      <c r="J31" s="10">
        <f>SUMIFS('Эффекты технологий'!$S$25:$S$240,'Эффекты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2034'!B32+'Китай 2034'!D32+('Китай 2034'!C32+'Китай 2034'!F32+'Китай 2034'!G32)+(0.35*LN(1+0.6*'Ход 2034'!B38)*POWER(MAX(0,1-'Китай 2034'!I32/10),0.7))))</f>
        <v>10</v>
      </c>
      <c r="C32" s="3">
        <f>MIN(1,(MIN(1,'Китай 2034'!C32+'Китай 2034'!F32+(0.08*LN(1+0.5*'Ход 2034'!C38)*MAX(0,1-('Китай 2034'!C32+'Китай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технологий'!$S$25:$S$240,'Эффекты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2034'!B34+'Китай 2034'!D34+('Китай 2034'!C34+'Китай 2034'!F34+'Китай 2034'!G34)+(0.35*LN(1+0.6*'Ход 2034'!B40)*POWER(MAX(0,1-'Китай 2034'!I34/10),0.7))))</f>
        <v>10</v>
      </c>
      <c r="C34" s="3">
        <f>MIN(1,(MIN(1,'Китай 2034'!C34+'Китай 2034'!F34+(0.08*LN(1+0.5*'Ход 2034'!C40)*MAX(0,1-('Китай 2034'!C34+'Китай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технологий'!$S$25:$S$240,'Эффекты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2034'!B35+'Китай 2034'!D35+('Китай 2034'!C35+'Китай 2034'!F35+'Китай 2034'!G35)+(0.35*LN(1+0.6*'Ход 2034'!B41)*POWER(MAX(0,1-'Китай 2034'!I35/10),0.7))))</f>
        <v>10</v>
      </c>
      <c r="C35" s="3">
        <f>MIN(1,(MIN(1,'Китай 2034'!C35+'Китай 2034'!F35+(0.08*LN(1+0.5*'Ход 2034'!C41)*MAX(0,1-('Китай 2034'!C35+'Китай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технологий'!$S$25:$S$240,'Эффекты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2034'!B36+'Китай 2034'!D36+('Китай 2034'!C36+'Китай 2034'!F36+'Китай 2034'!G36)+(0.35*LN(1+0.6*'Ход 2034'!B42)*POWER(MAX(0,1-'Китай 2034'!I36/10),0.7))))</f>
        <v>10</v>
      </c>
      <c r="C36" s="3">
        <f>MIN(1,(MIN(1,'Китай 2034'!C36+'Китай 2034'!F36+(0.08*LN(1+0.5*'Ход 2034'!C42)*MAX(0,1-('Китай 2034'!C36+'Китай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технологий'!$S$25:$S$240,'Эффекты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2034'!B37+'Китай 2034'!D37+('Китай 2034'!C37+'Китай 2034'!F37+'Китай 2034'!G37)+(0.35*LN(1+0.6*'Ход 2034'!B43)*POWER(MAX(0,1-'Китай 2034'!I37/10),0.7))))</f>
        <v>10</v>
      </c>
      <c r="C37" s="3">
        <f>MIN(1,(MIN(1,'Китай 2034'!C37+'Китай 2034'!F37+(0.08*LN(1+0.5*'Ход 2034'!C43)*MAX(0,1-('Китай 2034'!C37+'Китай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технологий'!$S$25:$S$240,'Эффекты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2034'!B38+'Китай 2034'!D38+('Китай 2034'!C38+'Китай 2034'!F38+'Китай 2034'!G38)+(0.35*LN(1+0.6*'Ход 2034'!B44)*POWER(MAX(0,1-'Китай 2034'!I38/10),0.7))))</f>
        <v>10</v>
      </c>
      <c r="C38" s="3">
        <f>MIN(1,(MIN(1,'Китай 2034'!C38+'Китай 2034'!F38+(0.08*LN(1+0.5*'Ход 2034'!C44)*MAX(0,1-('Китай 2034'!C38+'Китай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технологий'!$S$25:$S$240,'Эффекты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2034'!B39+'Китай 2034'!D39+('Китай 2034'!C39+'Китай 2034'!F39+'Китай 2034'!G39)+(0.35*LN(1+0.6*'Ход 2034'!B45)*POWER(MAX(0,1-'Китай 2034'!I39/10),0.7))))</f>
        <v>10</v>
      </c>
      <c r="C39" s="3">
        <f>MIN(1,(MIN(1,'Китай 2034'!C39+'Китай 2034'!F39+(0.08*LN(1+0.5*'Ход 2034'!C45)*MAX(0,1-('Китай 2034'!C39+'Китай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технологий'!$S$25:$S$240,'Эффекты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2034'!B40+'Китай 2034'!D40+('Китай 2034'!C40+'Китай 2034'!F40+'Китай 2034'!G40)+(0.35*LN(1+0.6*'Ход 2034'!B46)*POWER(MAX(0,1-'Китай 2034'!I40/10),0.7))))</f>
        <v>9.8999999999999968</v>
      </c>
      <c r="C40" s="3">
        <f>MIN(1,(MIN(1,'Китай 2034'!C40+'Китай 2034'!F40+(0.08*LN(1+0.5*'Ход 2034'!C46)*MAX(0,1-('Китай 2034'!C40+'Китай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9.8999999999999968</v>
      </c>
      <c r="J40" s="10">
        <f>SUMIFS('Эффекты технологий'!$S$25:$S$240,'Эффекты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2034'!B41+'Китай 2034'!D41+('Китай 2034'!C41+'Китай 2034'!F41+'Китай 2034'!G41)+(0.35*LN(1+0.6*'Ход 2034'!B47)*POWER(MAX(0,1-'Китай 2034'!I41/10),0.7))))</f>
        <v>10</v>
      </c>
      <c r="C41" s="3">
        <f>MIN(1,(MIN(1,'Китай 2034'!C41+'Китай 2034'!F41+(0.08*LN(1+0.5*'Ход 2034'!C47)*MAX(0,1-('Китай 2034'!C41+'Китай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технологий'!$S$25:$S$240,'Эффекты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2034'!B42+'Китай 2034'!D42+('Китай 2034'!C42+'Китай 2034'!F42+'Китай 2034'!G42)+(0.35*LN(1+0.6*'Ход 2034'!B48)*POWER(MAX(0,1-'Китай 2034'!I42/10),0.7))))</f>
        <v>10</v>
      </c>
      <c r="C42" s="3">
        <f>MIN(1,(MIN(1,'Китай 2034'!C42+'Китай 2034'!F42+(0.08*LN(1+0.5*'Ход 2034'!C48)*MAX(0,1-('Китай 2034'!C42+'Китай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технологий'!$S$25:$S$240,'Эффекты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2034'!B44+'Китай 2034'!D44+('Китай 2034'!C44+'Китай 2034'!F44+'Китай 2034'!G44)+(0.35*LN(1+0.6*'Ход 2034'!B50)*POWER(MAX(0,1-'Китай 2034'!I44/10),0.7))))</f>
        <v>9.941414639869631</v>
      </c>
      <c r="C44" s="3">
        <f>MIN(1,(MIN(1,'Китай 2034'!C44+'Китай 2034'!F44+(0.08*LN(1+0.5*'Ход 2034'!C50)*MAX(0,1-('Китай 2034'!C44+'Китай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9.941414639869631</v>
      </c>
      <c r="J44" s="10">
        <f>SUMIFS('Эффекты технологий'!$S$25:$S$240,'Эффекты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2034'!B45+'Китай 2034'!D45+('Китай 2034'!C45+'Китай 2034'!F45+'Китай 2034'!G45)+(0.35*LN(1+0.6*'Ход 2034'!B51)*POWER(MAX(0,1-'Китай 2034'!I45/10),0.7))))</f>
        <v>10</v>
      </c>
      <c r="C45" s="3">
        <f>MIN(1,(MIN(1,'Китай 2034'!C45+'Китай 2034'!F45+(0.08*LN(1+0.5*'Ход 2034'!C51)*MAX(0,1-('Китай 2034'!C45+'Китай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технологий'!$S$25:$S$240,'Эффекты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2034'!B46+'Китай 2034'!D46+('Китай 2034'!C46+'Китай 2034'!F46+'Китай 2034'!G46)+(0.35*LN(1+0.6*'Ход 2034'!B52)*POWER(MAX(0,1-'Китай 2034'!I46/10),0.7))))</f>
        <v>10</v>
      </c>
      <c r="C46" s="3">
        <f>MIN(1,(MIN(1,'Китай 2034'!C46+'Китай 2034'!F46+(0.08*LN(1+0.5*'Ход 2034'!C52)*MAX(0,1-('Китай 2034'!C46+'Китай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технологий'!$S$25:$S$240,'Эффекты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2034'!B47+'Китай 2034'!D47+('Китай 2034'!C47+'Китай 2034'!F47+'Китай 2034'!G47)+(0.35*LN(1+0.6*'Ход 2034'!B53)*POWER(MAX(0,1-'Китай 2034'!I47/10),0.7))))</f>
        <v>6.3613986663365498</v>
      </c>
      <c r="C47" s="3">
        <f>MIN(1,(MIN(1,'Китай 2034'!C47+'Китай 2034'!F47+(0.08*LN(1+0.5*'Ход 2034'!C53)*MAX(0,1-('Китай 2034'!C47+'Китай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6.3613986663365498</v>
      </c>
      <c r="J47" s="10">
        <f>SUMIFS('Эффекты технологий'!$S$25:$S$240,'Эффекты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2034'!B48+'Китай 2034'!D48+('Китай 2034'!C48+'Китай 2034'!F48+'Китай 2034'!G48)+(0.35*LN(1+0.6*'Ход 2034'!B54)*POWER(MAX(0,1-'Китай 2034'!I48/10),0.7))))</f>
        <v>8.9500000000000064</v>
      </c>
      <c r="C48" s="3">
        <f>MIN(1,(MIN(1,'Китай 2034'!C48+'Китай 2034'!F48+(0.08*LN(1+0.5*'Ход 2034'!C54)*MAX(0,1-('Китай 2034'!C48+'Китай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8.9500000000000064</v>
      </c>
      <c r="J48" s="10">
        <f>SUMIFS('Эффекты технологий'!$S$25:$S$240,'Эффекты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2034'!B49+'Китай 2034'!D49+('Китай 2034'!C49+'Китай 2034'!F49+'Китай 2034'!G49)+(0.35*LN(1+0.6*'Ход 2034'!B55)*POWER(MAX(0,1-'Китай 2034'!I49/10),0.7))))</f>
        <v>10</v>
      </c>
      <c r="C49" s="3">
        <f>MIN(1,(MIN(1,'Китай 2034'!C49+'Китай 2034'!F49+(0.08*LN(1+0.5*'Ход 2034'!C55)*MAX(0,1-('Китай 2034'!C49+'Китай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технологий'!$S$25:$S$240,'Эффекты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2034'!B50+'Китай 2034'!D50+('Китай 2034'!C50+'Китай 2034'!F50+'Китай 2034'!G50)+(0.35*LN(1+0.6*'Ход 2034'!B56)*POWER(MAX(0,1-'Китай 2034'!I50/10),0.7))))</f>
        <v>10</v>
      </c>
      <c r="C50" s="3">
        <f>MIN(1,(MIN(1,'Китай 2034'!C50+'Китай 2034'!F50+(0.08*LN(1+0.5*'Ход 2034'!C56)*MAX(0,1-('Китай 2034'!C50+'Китай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технологий'!$S$25:$S$240,'Эффекты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2034'!B51+'Китай 2034'!D51+('Китай 2034'!C51+'Китай 2034'!F51+'Китай 2034'!G51)+(0.35*LN(1+0.6*'Ход 2034'!B57)*POWER(MAX(0,1-'Китай 2034'!I51/10),0.7))))</f>
        <v>10</v>
      </c>
      <c r="C51" s="3">
        <f>MIN(1,(MIN(1,'Китай 2034'!C51+'Китай 2034'!F51+(0.08*LN(1+0.5*'Ход 2034'!C57)*MAX(0,1-('Китай 2034'!C51+'Китай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технологий'!$S$25:$S$240,'Эффекты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2034'!B53+'Китай 2034'!D53+('Китай 2034'!C53+'Китай 2034'!F53+'Китай 2034'!G53)+(0.35*LN(1+0.6*'Ход 2034'!B59)*POWER(MAX(0,1-'Китай 2034'!I53/10),0.7))))</f>
        <v>10</v>
      </c>
      <c r="C53" s="3">
        <f>MIN(1,(MIN(1,'Китай 2034'!C53+'Китай 2034'!F53+(0.08*LN(1+0.5*'Ход 2034'!C59)*MAX(0,1-('Китай 2034'!C53+'Китай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технологий'!$S$25:$S$240,'Эффекты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2034'!B54+'Китай 2034'!D54+('Китай 2034'!C54+'Китай 2034'!F54+'Китай 2034'!G54)+(0.35*LN(1+0.6*'Ход 2034'!B60)*POWER(MAX(0,1-'Китай 2034'!I54/10),0.7))))</f>
        <v>10</v>
      </c>
      <c r="C54" s="3">
        <f>MIN(1,(MIN(1,'Китай 2034'!C54+'Китай 2034'!F54+(0.08*LN(1+0.5*'Ход 2034'!C60)*MAX(0,1-('Китай 2034'!C54+'Китай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технологий'!$S$25:$S$240,'Эффекты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2034'!B55+'Китай 2034'!D55+('Китай 2034'!C55+'Китай 2034'!F55+'Китай 2034'!G55)+(0.35*LN(1+0.6*'Ход 2034'!B61)*POWER(MAX(0,1-'Китай 2034'!I55/10),0.7))))</f>
        <v>10</v>
      </c>
      <c r="C55" s="3">
        <f>MIN(1,(MIN(1,'Китай 2034'!C55+'Китай 2034'!F55+(0.08*LN(1+0.5*'Ход 2034'!C61)*MAX(0,1-('Китай 2034'!C55+'Китай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технологий'!$S$25:$S$240,'Эффекты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357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2035'!U6</f>
        <v>99.923387762281791</v>
      </c>
      <c r="C6" s="3"/>
      <c r="D6" s="3"/>
      <c r="E6" s="3" t="s">
        <v>321</v>
      </c>
      <c r="F6" s="3">
        <f>'Китай 2035'!K6</f>
        <v>99.330660096610117</v>
      </c>
      <c r="G6" s="3"/>
      <c r="H6" s="3"/>
      <c r="I6" s="3" t="s">
        <v>321</v>
      </c>
      <c r="J6" s="3">
        <f>'Китай 2035'!N6</f>
        <v>99.92129413651179</v>
      </c>
      <c r="K6" s="3"/>
      <c r="L6" s="3"/>
      <c r="M6" s="3" t="s">
        <v>321</v>
      </c>
      <c r="N6" s="3">
        <f>'Китай 2035'!Q6</f>
        <v>85.393294726100692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99.923387762281791</v>
      </c>
      <c r="C8" s="3" t="str">
        <f>IF(B8&lt;0,"ПРЕВЫШЕНИЕ","OK")</f>
        <v>OK</v>
      </c>
      <c r="D8" s="3"/>
      <c r="E8" s="3" t="s">
        <v>323</v>
      </c>
      <c r="F8" s="3">
        <f>F6-F7</f>
        <v>99.330660096610117</v>
      </c>
      <c r="G8" s="3" t="str">
        <f>IF(F8&lt;0,"ПРЕВЫШЕНИЕ","OK")</f>
        <v>OK</v>
      </c>
      <c r="H8" s="3"/>
      <c r="I8" s="3" t="s">
        <v>323</v>
      </c>
      <c r="J8" s="3">
        <f>J6-J7</f>
        <v>99.92129413651179</v>
      </c>
      <c r="K8" s="3" t="str">
        <f>IF(J8&lt;0,"ПРЕВЫШЕНИЕ","OK")</f>
        <v>OK</v>
      </c>
      <c r="L8" s="3"/>
      <c r="M8" s="3" t="s">
        <v>323</v>
      </c>
      <c r="N8" s="3">
        <f>N6-N7</f>
        <v>85.393294726100692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2035'!V11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2035'!V12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2035'!V13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2035'!V14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2035'!V15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2035'!V16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2035'!V17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2035'!V18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2035'!V19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2035'!V20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2035'!V21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2035'!V22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технологий'!S$16</f>
        <v>0</v>
      </c>
      <c r="H25" s="11">
        <f>'Эффекты технологий'!S$17</f>
        <v>0</v>
      </c>
      <c r="I25" s="11">
        <f>'Эффекты технологий'!S$18</f>
        <v>0</v>
      </c>
      <c r="J25" s="12"/>
      <c r="K25" s="3"/>
      <c r="L25" s="3" t="s">
        <v>558</v>
      </c>
      <c r="M25" s="3">
        <f>'Китай 2035'!V23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2035'!V24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2035'!V25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2035'!V26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IF(G29="","",VLOOKUP(G29,Технологии!$A$11:$BF$50,53,FALSE))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IF(G30="","",VLOOKUP(G30,Технологии!$A$11:$BF$50,53,FALSE))</f>
        <v/>
      </c>
      <c r="L30" s="3"/>
      <c r="M30" s="3"/>
      <c r="N30" s="12" t="s">
        <v>340</v>
      </c>
      <c r="O30" s="11">
        <f>'Эффекты технологий'!S$13</f>
        <v>0</v>
      </c>
      <c r="P30" s="11">
        <f>'Эффекты технологий'!S$14</f>
        <v>0</v>
      </c>
      <c r="Q30" s="11">
        <f>'Эффекты технологий'!S$15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IF(G31="","",VLOOKUP(G31,Технологии!$A$11:$BF$50,53,FALSE))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IF(G32="","",VLOOKUP(G32,Технологии!$A$11:$BF$50,53,FALSE))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IF(G33="","",VLOOKUP(G33,Технологии!$A$11:$BF$50,53,FALSE))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IF(G34="","",VLOOKUP(G34,Технологии!$A$11:$BF$50,53,FALSE))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IF(G35="","",VLOOKUP(G35,Технологии!$A$11:$BF$50,53,FALSE))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IF(G36="","",VLOOKUP(G36,Технологии!$A$11:$BF$50,53,FALSE))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IF(G37="","",VLOOKUP(G37,Технологии!$A$11:$BF$50,53,FALSE))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IF(G38="","",VLOOKUP(G38,Технологии!$A$11:$BF$50,53,FALSE))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575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99.460482049374079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99.95757833889067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85.49108770786934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99.945014038831005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2035'!B8+'Китай 2035'!D8+('Китай 2035'!C8+'Китай 2035'!F8+'Китай 2035'!G8)+(0.35*LN(1+0.6*('Ход 2035'!B14*(1+'Эффекты технологий'!S$12)))*POWER(MAX(0,1-'Китай 2035'!I8/10),0.7))))</f>
        <v>10</v>
      </c>
      <c r="C8" s="3">
        <f>MIN(1,(MIN(1,'Китай 2035'!C8+'Китай 2035'!F8+(0.08*LN(1+0.5*('Ход 2035'!C14*(1+'Эффекты технологий'!S$12)))*MAX(0,1-('Китай 2035'!C8+'Китай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10</v>
      </c>
      <c r="J8" s="10">
        <f>SUMIFS('Эффекты технологий'!$T$25:$T$240,'Эффекты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2035'!B9+'Китай 2035'!D9+('Китай 2035'!C9+'Китай 2035'!F9+'Китай 2035'!G9)+(0.35*LN(1+0.6*('Ход 2035'!B15*(1+'Эффекты технологий'!S$12)))*POWER(MAX(0,1-'Китай 2035'!I9/10),0.7))))</f>
        <v>10</v>
      </c>
      <c r="C9" s="3">
        <f>MIN(1,(MIN(1,'Китай 2035'!C9+'Китай 2035'!F9+(0.08*LN(1+0.5*('Ход 2035'!C15*(1+'Эффекты технологий'!S$12)))*MAX(0,1-('Китай 2035'!C9+'Китай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технологий'!$T$25:$T$240,'Эффекты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2035'!B10+'Китай 2035'!D10+('Китай 2035'!C10+'Китай 2035'!F10+'Китай 2035'!G10)+(0.35*LN(1+0.6*('Ход 2035'!B16*(1+'Эффекты технологий'!S$12)))*POWER(MAX(0,1-'Китай 2035'!I10/10),0.7))))</f>
        <v>10</v>
      </c>
      <c r="C10" s="3">
        <f>MIN(1,(MIN(1,'Китай 2035'!C10+'Китай 2035'!F10+(0.08*LN(1+0.5*('Ход 2035'!C16*(1+'Эффекты технологий'!S$12)))*MAX(0,1-('Китай 2035'!C10+'Китай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технологий'!$T$25:$T$240,'Эффекты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2035'!B11+'Китай 2035'!D11+('Китай 2035'!C11+'Китай 2035'!F11+'Китай 2035'!G11)+(0.35*LN(1+0.6*('Ход 2035'!B17*(1+'Эффекты технологий'!S$12)))*POWER(MAX(0,1-'Китай 2035'!I11/10),0.7))))</f>
        <v>9.4231735493203921</v>
      </c>
      <c r="C11" s="3">
        <f>MIN(1,(MIN(1,'Китай 2035'!C11+'Китай 2035'!F11+(0.08*LN(1+0.5*('Ход 2035'!C17*(1+'Эффекты технологий'!S$12)))*MAX(0,1-('Китай 2035'!C11+'Китай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9.4231735493203921</v>
      </c>
      <c r="J11" s="10">
        <f>SUMIFS('Эффекты технологий'!$T$25:$T$240,'Эффекты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2035'!L11+'Китай 2035'!N11+('Китай 2035'!M11+'Китай 2035'!P11+'Китай 2035'!Q11)))</f>
        <v>10</v>
      </c>
      <c r="M11" s="3">
        <f>MIN(1,(MIN(1,'Китай 2035'!M11+'Китай 2035'!P11+(0.1*LN(1+0.5*('Ход 2035'!H13*(1+'Эффекты технологий'!S$10)))*POWER(MAX(0,1-'Китай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технологий'!$T$25:$T$240,'Эффекты технологий'!$C$25:$C$240,$K11,'Эффекты технологий'!$D$25:$D$240,"Значение")</f>
        <v>0</v>
      </c>
      <c r="U11" s="3" t="s">
        <v>534</v>
      </c>
      <c r="V11" s="7">
        <f>'Китай 2035'!V11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2035'!B12+'Китай 2035'!D12+('Китай 2035'!C12+'Китай 2035'!F12+'Китай 2035'!G12)+(0.35*LN(1+0.6*('Ход 2035'!B18*(1+'Эффекты технологий'!S$12)))*POWER(MAX(0,1-'Китай 2035'!I12/10),0.7))))</f>
        <v>9.5000000000000071</v>
      </c>
      <c r="C12" s="3">
        <f>MIN(1,(MIN(1,'Китай 2035'!C12+'Китай 2035'!F12+(0.08*LN(1+0.5*('Ход 2035'!C18*(1+'Эффекты технологий'!S$12)))*MAX(0,1-('Китай 2035'!C12+'Китай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9.5000000000000071</v>
      </c>
      <c r="J12" s="10">
        <f>SUMIFS('Эффекты технологий'!$T$25:$T$240,'Эффекты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2035'!L12+'Китай 2035'!N12+('Китай 2035'!M12+'Китай 2035'!P12+'Китай 2035'!Q12)))</f>
        <v>10</v>
      </c>
      <c r="M12" s="3">
        <f>MIN(1,(MIN(1,'Китай 2035'!M12+'Китай 2035'!P12+(0.1*LN(1+0.5*('Ход 2035'!H14*(1+'Эффекты технологий'!S$10)))*POWER(MAX(0,1-'Китай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технологий'!$T$25:$T$240,'Эффекты технологий'!$C$25:$C$240,$K12,'Эффекты технологий'!$D$25:$D$240,"Значение")</f>
        <v>0</v>
      </c>
      <c r="U12" s="3" t="s">
        <v>536</v>
      </c>
      <c r="V12" s="7">
        <f>'Китай 2035'!V12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2035'!B13+'Китай 2035'!D13+('Китай 2035'!C13+'Китай 2035'!F13+'Китай 2035'!G13)+(0.35*LN(1+0.6*('Ход 2035'!B19*(1+'Эффекты технологий'!S$12)))*POWER(MAX(0,1-'Китай 2035'!I13/10),0.7))))</f>
        <v>10</v>
      </c>
      <c r="C13" s="3">
        <f>MIN(1,(MIN(1,'Китай 2035'!C13+'Китай 2035'!F13+(0.08*LN(1+0.5*('Ход 2035'!C19*(1+'Эффекты технологий'!S$12)))*MAX(0,1-('Китай 2035'!C13+'Китай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технологий'!$T$25:$T$240,'Эффекты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2035'!L13+'Китай 2035'!N13+('Китай 2035'!M13+'Китай 2035'!P13+'Китай 2035'!Q13)))</f>
        <v>10</v>
      </c>
      <c r="M13" s="3">
        <f>MIN(1,(MIN(1,'Китай 2035'!M13+'Китай 2035'!P13+(0.1*LN(1+0.5*('Ход 2035'!H15*(1+'Эффекты технологий'!S$10)))*POWER(MAX(0,1-'Китай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технологий'!$T$25:$T$240,'Эффекты технологий'!$C$25:$C$240,$K13,'Эффекты технологий'!$D$25:$D$240,"Значение")</f>
        <v>0</v>
      </c>
      <c r="U13" s="3" t="s">
        <v>538</v>
      </c>
      <c r="V13" s="7">
        <f>'Китай 2035'!V13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2035'!B14+'Китай 2035'!D14+('Китай 2035'!C14+'Китай 2035'!F14+'Китай 2035'!G14)+(0.35*LN(1+0.6*('Ход 2035'!B20*(1+'Эффекты технологий'!S$12)))*POWER(MAX(0,1-'Китай 2035'!I14/10),0.7))))</f>
        <v>10</v>
      </c>
      <c r="C14" s="3">
        <f>MIN(1,(MIN(1,'Китай 2035'!C14+'Китай 2035'!F14+(0.08*LN(1+0.5*('Ход 2035'!C20*(1+'Эффекты технологий'!S$12)))*MAX(0,1-('Китай 2035'!C14+'Китай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технологий'!$T$25:$T$240,'Эффекты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2035'!L14+'Китай 2035'!N14+('Китай 2035'!M14+'Китай 2035'!P14+'Китай 2035'!Q14)))</f>
        <v>10</v>
      </c>
      <c r="M14" s="3">
        <f>MIN(1,(MIN(1,'Китай 2035'!M14+'Китай 2035'!P14+(0.1*LN(1+0.5*('Ход 2035'!H16*(1+'Эффекты технологий'!S$10)))*POWER(MAX(0,1-'Китай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технологий'!$T$25:$T$240,'Эффекты технологий'!$C$25:$C$240,$K14,'Эффекты технологий'!$D$25:$D$240,"Значение")</f>
        <v>0</v>
      </c>
      <c r="U14" s="3" t="s">
        <v>540</v>
      </c>
      <c r="V14" s="7">
        <f>'Китай 2035'!V14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2035'!B15+'Китай 2035'!D15+('Китай 2035'!C15+'Китай 2035'!F15+'Китай 2035'!G15)+(0.35*LN(1+0.6*('Ход 2035'!B21*(1+'Эффекты технологий'!S$12)))*POWER(MAX(0,1-'Китай 2035'!I15/10),0.7))))</f>
        <v>10</v>
      </c>
      <c r="C15" s="3">
        <f>MIN(1,(MIN(1,'Китай 2035'!C15+'Китай 2035'!F15+(0.08*LN(1+0.5*('Ход 2035'!C21*(1+'Эффекты технологий'!S$12)))*MAX(0,1-('Китай 2035'!C15+'Китай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технологий'!$T$25:$T$240,'Эффекты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2035'!L15+'Китай 2035'!N15+('Китай 2035'!M15+'Китай 2035'!P15+'Китай 2035'!Q15)))</f>
        <v>10</v>
      </c>
      <c r="M15" s="3">
        <f>MIN(1,(MIN(1,'Китай 2035'!M15+'Китай 2035'!P15+(0.1*LN(1+0.5*('Ход 2035'!H17*(1+'Эффекты технологий'!S$10)))*POWER(MAX(0,1-'Китай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технологий'!$T$25:$T$240,'Эффекты технологий'!$C$25:$C$240,$K15,'Эффекты технологий'!$D$25:$D$240,"Значение")</f>
        <v>0</v>
      </c>
      <c r="U15" s="3" t="s">
        <v>542</v>
      </c>
      <c r="V15" s="7">
        <f>'Китай 2035'!V15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2035'!B16+'Китай 2035'!D16+('Китай 2035'!C16+'Китай 2035'!F16+'Китай 2035'!G16)+(0.35*LN(1+0.6*('Ход 2035'!B22*(1+'Эффекты технологий'!S$12)))*POWER(MAX(0,1-'Китай 2035'!I16/10),0.7))))</f>
        <v>10</v>
      </c>
      <c r="C16" s="3">
        <f>MIN(1,(MIN(1,'Китай 2035'!C16+'Китай 2035'!F16+(0.08*LN(1+0.5*('Ход 2035'!C22*(1+'Эффекты технологий'!S$12)))*MAX(0,1-('Китай 2035'!C16+'Китай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технологий'!$T$25:$T$240,'Эффекты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2035'!L16+'Китай 2035'!N16+('Китай 2035'!M16+'Китай 2035'!P16+'Китай 2035'!Q16)))</f>
        <v>10</v>
      </c>
      <c r="M16" s="3">
        <f>MIN(1,(MIN(1,'Китай 2035'!M16+'Китай 2035'!P16+(0.1*LN(1+0.5*('Ход 2035'!H18*(1+'Эффекты технологий'!S$10)))*POWER(MAX(0,1-'Китай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технологий'!$T$25:$T$240,'Эффекты технологий'!$C$25:$C$240,$K16,'Эффекты технологий'!$D$25:$D$240,"Значение")</f>
        <v>0</v>
      </c>
      <c r="U16" s="3" t="s">
        <v>544</v>
      </c>
      <c r="V16" s="7">
        <f>'Китай 2035'!V16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2035'!B17+'Китай 2035'!D17+('Китай 2035'!C17+'Китай 2035'!F17+'Китай 2035'!G17)+(0.35*LN(1+0.6*('Ход 2035'!B23*(1+'Эффекты технологий'!S$12)))*POWER(MAX(0,1-'Китай 2035'!I17/10),0.7))))</f>
        <v>10</v>
      </c>
      <c r="C17" s="3">
        <f>MIN(1,(MIN(1,'Китай 2035'!C17+'Китай 2035'!F17+(0.08*LN(1+0.5*('Ход 2035'!C23*(1+'Эффекты технологий'!S$12)))*MAX(0,1-('Китай 2035'!C17+'Китай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технологий'!$T$25:$T$240,'Эффекты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2035'!L17+'Китай 2035'!N17+('Китай 2035'!M17+'Китай 2035'!P17+'Китай 2035'!Q17)))</f>
        <v>10</v>
      </c>
      <c r="M17" s="3">
        <f>MIN(1,(MIN(1,'Китай 2035'!M17+'Китай 2035'!P17+(0.1*LN(1+0.5*('Ход 2035'!H19*(1+'Эффекты технологий'!S$10)))*POWER(MAX(0,1-'Китай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технологий'!$T$25:$T$240,'Эффекты технологий'!$C$25:$C$240,$K17,'Эффекты технологий'!$D$25:$D$240,"Значение")</f>
        <v>0</v>
      </c>
      <c r="U17" s="3" t="s">
        <v>546</v>
      </c>
      <c r="V17" s="7">
        <f>'Китай 2035'!V17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2035'!L18+'Китай 2035'!N18+('Китай 2035'!M18+'Китай 2035'!P18+'Китай 2035'!Q18)))</f>
        <v>10</v>
      </c>
      <c r="M18" s="3">
        <f>MIN(1,(MIN(1,'Китай 2035'!M18+'Китай 2035'!P18+(0.1*LN(1+0.5*('Ход 2035'!H20*(1+'Эффекты технологий'!S$10)))*POWER(MAX(0,1-'Китай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технологий'!$T$25:$T$240,'Эффекты технологий'!$C$25:$C$240,$K18,'Эффекты технологий'!$D$25:$D$240,"Значение")</f>
        <v>0</v>
      </c>
      <c r="U18" s="3" t="s">
        <v>548</v>
      </c>
      <c r="V18" s="7">
        <f>'Китай 2035'!V18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2035'!B19+'Китай 2035'!D19+('Китай 2035'!C19+'Китай 2035'!F19+'Китай 2035'!G19)+(0.35*LN(1+0.6*'Ход 2035'!B25)*POWER(MAX(0,1-'Китай 2035'!I19/10),0.7))))</f>
        <v>10</v>
      </c>
      <c r="C19" s="3">
        <f>MIN(1,(MIN(1,'Китай 2035'!C19+'Китай 2035'!F19+(0.08*LN(1+0.5*'Ход 2035'!C25)*MAX(0,1-('Китай 2035'!C19+'Китай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технологий'!$T$25:$T$240,'Эффекты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2035'!V19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2035'!B20+'Китай 2035'!D20+('Китай 2035'!C20+'Китай 2035'!F20+'Китай 2035'!G20)+(0.35*LN(1+0.6*'Ход 2035'!B26)*POWER(MAX(0,1-'Китай 2035'!I20/10),0.7))))</f>
        <v>10</v>
      </c>
      <c r="C20" s="3">
        <f>MIN(1,(MIN(1,'Китай 2035'!C20+'Китай 2035'!F20+(0.08*LN(1+0.5*'Ход 2035'!C26)*MAX(0,1-('Китай 2035'!C20+'Китай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технологий'!$T$25:$T$240,'Эффекты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2035'!V20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2035'!B21+'Китай 2035'!D21+('Китай 2035'!C21+'Китай 2035'!F21+'Китай 2035'!G21)+(0.35*LN(1+0.6*'Ход 2035'!B27)*POWER(MAX(0,1-'Китай 2035'!I21/10),0.7))))</f>
        <v>10</v>
      </c>
      <c r="C21" s="3">
        <f>MIN(1,(MIN(1,'Китай 2035'!C21+'Китай 2035'!F21+(0.08*LN(1+0.5*'Ход 2035'!C27)*MAX(0,1-('Китай 2035'!C21+'Китай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технологий'!$T$25:$T$240,'Эффекты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2035'!V21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2035'!B22+'Китай 2035'!D22+('Китай 2035'!C22+'Китай 2035'!F22+'Китай 2035'!G22)+(0.35*LN(1+0.6*'Ход 2035'!B28)*POWER(MAX(0,1-'Китай 2035'!I22/10),0.7))))</f>
        <v>10</v>
      </c>
      <c r="C22" s="3">
        <f>MIN(1,(MIN(1,'Китай 2035'!C22+'Китай 2035'!F22+(0.08*LN(1+0.5*'Ход 2035'!C28)*MAX(0,1-('Китай 2035'!C22+'Китай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технологий'!$T$25:$T$240,'Эффекты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2035'!V22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2035'!B23+'Китай 2035'!D23+('Китай 2035'!C23+'Китай 2035'!F23+'Китай 2035'!G23)+(0.35*LN(1+0.6*'Ход 2035'!B29)*POWER(MAX(0,1-'Китай 2035'!I23/10),0.7))))</f>
        <v>10</v>
      </c>
      <c r="C23" s="3">
        <f>MIN(1,(MIN(1,'Китай 2035'!C23+'Китай 2035'!F23+(0.08*LN(1+0.5*'Ход 2035'!C29)*MAX(0,1-('Китай 2035'!C23+'Китай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технологий'!$T$25:$T$240,'Эффекты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2035'!V23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2035'!V24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2035'!B25+'Китай 2035'!D25+('Китай 2035'!C25+'Китай 2035'!F25+'Китай 2035'!G25)+(0.35*LN(1+0.6*'Ход 2035'!B31)*POWER(MAX(0,1-'Китай 2035'!I25/10),0.7))))</f>
        <v>10</v>
      </c>
      <c r="C25" s="3">
        <f>MIN(1,(MIN(1,'Китай 2035'!C25+'Китай 2035'!F25+(0.08*LN(1+0.5*'Ход 2035'!C31)*MAX(0,1-('Китай 2035'!C25+'Китай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технологий'!$T$25:$T$240,'Эффекты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2035'!V25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2035'!B26+'Китай 2035'!D26+('Китай 2035'!C26+'Китай 2035'!F26+'Китай 2035'!G26)+(0.35*LN(1+0.6*'Ход 2035'!B32)*POWER(MAX(0,1-'Китай 2035'!I26/10),0.7))))</f>
        <v>10</v>
      </c>
      <c r="C26" s="3">
        <f>MIN(1,(MIN(1,'Китай 2035'!C26+'Китай 2035'!F26+(0.08*LN(1+0.5*'Ход 2035'!C32)*MAX(0,1-('Китай 2035'!C26+'Китай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технологий'!$T$25:$T$240,'Эффекты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2035'!V26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2035'!B27+'Китай 2035'!D27+('Китай 2035'!C27+'Китай 2035'!F27+'Китай 2035'!G27)+(0.35*LN(1+0.6*'Ход 2035'!B33)*POWER(MAX(0,1-'Китай 2035'!I27/10),0.7))))</f>
        <v>10</v>
      </c>
      <c r="C27" s="3">
        <f>MIN(1,(MIN(1,'Китай 2035'!C27+'Китай 2035'!F27+(0.08*LN(1+0.5*'Ход 2035'!C33)*MAX(0,1-('Китай 2035'!C27+'Китай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технологий'!$T$25:$T$240,'Эффекты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2035'!B28+'Китай 2035'!D28+('Китай 2035'!C28+'Китай 2035'!F28+'Китай 2035'!G28)+(0.35*LN(1+0.6*'Ход 2035'!B34)*POWER(MAX(0,1-'Китай 2035'!I28/10),0.7))))</f>
        <v>10</v>
      </c>
      <c r="C28" s="3">
        <f>MIN(1,(MIN(1,'Китай 2035'!C28+'Китай 2035'!F28+(0.08*LN(1+0.5*'Ход 2035'!C34)*MAX(0,1-('Китай 2035'!C28+'Китай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технологий'!$T$25:$T$240,'Эффекты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2035'!B29+'Китай 2035'!D29+('Китай 2035'!C29+'Китай 2035'!F29+'Китай 2035'!G29)+(0.35*LN(1+0.6*'Ход 2035'!B35)*POWER(MAX(0,1-'Китай 2035'!I29/10),0.7))))</f>
        <v>10</v>
      </c>
      <c r="C29" s="3">
        <f>MIN(1,(MIN(1,'Китай 2035'!C29+'Китай 2035'!F29+(0.08*LN(1+0.5*'Ход 2035'!C35)*MAX(0,1-('Китай 2035'!C29+'Китай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технологий'!$T$25:$T$240,'Эффекты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2035'!B30+'Китай 2035'!D30+('Китай 2035'!C30+'Китай 2035'!F30+'Китай 2035'!G30)+(0.35*LN(1+0.6*'Ход 2035'!B36)*POWER(MAX(0,1-'Китай 2035'!I30/10),0.7))))</f>
        <v>9.4999999999999947</v>
      </c>
      <c r="C30" s="3">
        <f>MIN(1,(MIN(1,'Китай 2035'!C30+'Китай 2035'!F30+(0.08*LN(1+0.5*'Ход 2035'!C36)*MAX(0,1-('Китай 2035'!C30+'Китай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9.4999999999999947</v>
      </c>
      <c r="J30" s="10">
        <f>SUMIFS('Эффекты технологий'!$T$25:$T$240,'Эффекты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2035'!B31+'Китай 2035'!D31+('Китай 2035'!C31+'Китай 2035'!F31+'Китай 2035'!G31)+(0.35*LN(1+0.6*'Ход 2035'!B37)*POWER(MAX(0,1-'Китай 2035'!I31/10),0.7))))</f>
        <v>9.5538361367733415</v>
      </c>
      <c r="C31" s="3">
        <f>MIN(1,(MIN(1,'Китай 2035'!C31+'Китай 2035'!F31+(0.08*LN(1+0.5*'Ход 2035'!C37)*MAX(0,1-('Китай 2035'!C31+'Китай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9.5538361367733415</v>
      </c>
      <c r="J31" s="10">
        <f>SUMIFS('Эффекты технологий'!$T$25:$T$240,'Эффекты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2035'!B32+'Китай 2035'!D32+('Китай 2035'!C32+'Китай 2035'!F32+'Китай 2035'!G32)+(0.35*LN(1+0.6*'Ход 2035'!B38)*POWER(MAX(0,1-'Китай 2035'!I32/10),0.7))))</f>
        <v>10</v>
      </c>
      <c r="C32" s="3">
        <f>MIN(1,(MIN(1,'Китай 2035'!C32+'Китай 2035'!F32+(0.08*LN(1+0.5*'Ход 2035'!C38)*MAX(0,1-('Китай 2035'!C32+'Китай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технологий'!$T$25:$T$240,'Эффекты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2035'!B34+'Китай 2035'!D34+('Китай 2035'!C34+'Китай 2035'!F34+'Китай 2035'!G34)+(0.35*LN(1+0.6*'Ход 2035'!B40)*POWER(MAX(0,1-'Китай 2035'!I34/10),0.7))))</f>
        <v>10</v>
      </c>
      <c r="C34" s="3">
        <f>MIN(1,(MIN(1,'Китай 2035'!C34+'Китай 2035'!F34+(0.08*LN(1+0.5*'Ход 2035'!C40)*MAX(0,1-('Китай 2035'!C34+'Китай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технологий'!$T$25:$T$240,'Эффекты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2035'!B35+'Китай 2035'!D35+('Китай 2035'!C35+'Китай 2035'!F35+'Китай 2035'!G35)+(0.35*LN(1+0.6*'Ход 2035'!B41)*POWER(MAX(0,1-'Китай 2035'!I35/10),0.7))))</f>
        <v>10</v>
      </c>
      <c r="C35" s="3">
        <f>MIN(1,(MIN(1,'Китай 2035'!C35+'Китай 2035'!F35+(0.08*LN(1+0.5*'Ход 2035'!C41)*MAX(0,1-('Китай 2035'!C35+'Китай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технологий'!$T$25:$T$240,'Эффекты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2035'!B36+'Китай 2035'!D36+('Китай 2035'!C36+'Китай 2035'!F36+'Китай 2035'!G36)+(0.35*LN(1+0.6*'Ход 2035'!B42)*POWER(MAX(0,1-'Китай 2035'!I36/10),0.7))))</f>
        <v>10</v>
      </c>
      <c r="C36" s="3">
        <f>MIN(1,(MIN(1,'Китай 2035'!C36+'Китай 2035'!F36+(0.08*LN(1+0.5*'Ход 2035'!C42)*MAX(0,1-('Китай 2035'!C36+'Китай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технологий'!$T$25:$T$240,'Эффекты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2035'!B37+'Китай 2035'!D37+('Китай 2035'!C37+'Китай 2035'!F37+'Китай 2035'!G37)+(0.35*LN(1+0.6*'Ход 2035'!B43)*POWER(MAX(0,1-'Китай 2035'!I37/10),0.7))))</f>
        <v>10</v>
      </c>
      <c r="C37" s="3">
        <f>MIN(1,(MIN(1,'Китай 2035'!C37+'Китай 2035'!F37+(0.08*LN(1+0.5*'Ход 2035'!C43)*MAX(0,1-('Китай 2035'!C37+'Китай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технологий'!$T$25:$T$240,'Эффекты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2035'!B38+'Китай 2035'!D38+('Китай 2035'!C38+'Китай 2035'!F38+'Китай 2035'!G38)+(0.35*LN(1+0.6*'Ход 2035'!B44)*POWER(MAX(0,1-'Китай 2035'!I38/10),0.7))))</f>
        <v>10</v>
      </c>
      <c r="C38" s="3">
        <f>MIN(1,(MIN(1,'Китай 2035'!C38+'Китай 2035'!F38+(0.08*LN(1+0.5*'Ход 2035'!C44)*MAX(0,1-('Китай 2035'!C38+'Китай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технологий'!$T$25:$T$240,'Эффекты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2035'!B39+'Китай 2035'!D39+('Китай 2035'!C39+'Китай 2035'!F39+'Китай 2035'!G39)+(0.35*LN(1+0.6*'Ход 2035'!B45)*POWER(MAX(0,1-'Китай 2035'!I39/10),0.7))))</f>
        <v>10</v>
      </c>
      <c r="C39" s="3">
        <f>MIN(1,(MIN(1,'Китай 2035'!C39+'Китай 2035'!F39+(0.08*LN(1+0.5*'Ход 2035'!C45)*MAX(0,1-('Китай 2035'!C39+'Китай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технологий'!$T$25:$T$240,'Эффекты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2035'!B40+'Китай 2035'!D40+('Китай 2035'!C40+'Китай 2035'!F40+'Китай 2035'!G40)+(0.35*LN(1+0.6*'Ход 2035'!B46)*POWER(MAX(0,1-'Китай 2035'!I40/10),0.7))))</f>
        <v>9.9999999999999964</v>
      </c>
      <c r="C40" s="3">
        <f>MIN(1,(MIN(1,'Китай 2035'!C40+'Китай 2035'!F40+(0.08*LN(1+0.5*'Ход 2035'!C46)*MAX(0,1-('Китай 2035'!C40+'Китай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9.9999999999999964</v>
      </c>
      <c r="J40" s="10">
        <f>SUMIFS('Эффекты технологий'!$T$25:$T$240,'Эффекты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2035'!B41+'Китай 2035'!D41+('Китай 2035'!C41+'Китай 2035'!F41+'Китай 2035'!G41)+(0.35*LN(1+0.6*'Ход 2035'!B47)*POWER(MAX(0,1-'Китай 2035'!I41/10),0.7))))</f>
        <v>10</v>
      </c>
      <c r="C41" s="3">
        <f>MIN(1,(MIN(1,'Китай 2035'!C41+'Китай 2035'!F41+(0.08*LN(1+0.5*'Ход 2035'!C47)*MAX(0,1-('Китай 2035'!C41+'Китай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технологий'!$T$25:$T$240,'Эффекты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2035'!B42+'Китай 2035'!D42+('Китай 2035'!C42+'Китай 2035'!F42+'Китай 2035'!G42)+(0.35*LN(1+0.6*'Ход 2035'!B48)*POWER(MAX(0,1-'Китай 2035'!I42/10),0.7))))</f>
        <v>10</v>
      </c>
      <c r="C42" s="3">
        <f>MIN(1,(MIN(1,'Китай 2035'!C42+'Китай 2035'!F42+(0.08*LN(1+0.5*'Ход 2035'!C48)*MAX(0,1-('Китай 2035'!C42+'Китай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технологий'!$T$25:$T$240,'Эффекты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2035'!B44+'Китай 2035'!D44+('Китай 2035'!C44+'Китай 2035'!F44+'Китай 2035'!G44)+(0.35*LN(1+0.6*'Ход 2035'!B50)*POWER(MAX(0,1-'Китай 2035'!I44/10),0.7))))</f>
        <v>10</v>
      </c>
      <c r="C44" s="3">
        <f>MIN(1,(MIN(1,'Китай 2035'!C44+'Китай 2035'!F44+(0.08*LN(1+0.5*'Ход 2035'!C50)*MAX(0,1-('Китай 2035'!C44+'Китай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технологий'!$T$25:$T$240,'Эффекты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2035'!B45+'Китай 2035'!D45+('Китай 2035'!C45+'Китай 2035'!F45+'Китай 2035'!G45)+(0.35*LN(1+0.6*'Ход 2035'!B51)*POWER(MAX(0,1-'Китай 2035'!I45/10),0.7))))</f>
        <v>10</v>
      </c>
      <c r="C45" s="3">
        <f>MIN(1,(MIN(1,'Китай 2035'!C45+'Китай 2035'!F45+(0.08*LN(1+0.5*'Ход 2035'!C51)*MAX(0,1-('Китай 2035'!C45+'Китай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технологий'!$T$25:$T$240,'Эффекты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2035'!B46+'Китай 2035'!D46+('Китай 2035'!C46+'Китай 2035'!F46+'Китай 2035'!G46)+(0.35*LN(1+0.6*'Ход 2035'!B52)*POWER(MAX(0,1-'Китай 2035'!I46/10),0.7))))</f>
        <v>10</v>
      </c>
      <c r="C46" s="3">
        <f>MIN(1,(MIN(1,'Китай 2035'!C46+'Китай 2035'!F46+(0.08*LN(1+0.5*'Ход 2035'!C52)*MAX(0,1-('Китай 2035'!C46+'Китай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технологий'!$T$25:$T$240,'Эффекты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2035'!B47+'Китай 2035'!D47+('Китай 2035'!C47+'Китай 2035'!F47+'Китай 2035'!G47)+(0.35*LN(1+0.6*'Ход 2035'!B53)*POWER(MAX(0,1-'Китай 2035'!I47/10),0.7))))</f>
        <v>6.4190734996286185</v>
      </c>
      <c r="C47" s="3">
        <f>MIN(1,(MIN(1,'Китай 2035'!C47+'Китай 2035'!F47+(0.08*LN(1+0.5*'Ход 2035'!C53)*MAX(0,1-('Китай 2035'!C47+'Китай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6.4190734996286185</v>
      </c>
      <c r="J47" s="10">
        <f>SUMIFS('Эффекты технологий'!$T$25:$T$240,'Эффекты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2035'!B48+'Китай 2035'!D48+('Китай 2035'!C48+'Китай 2035'!F48+'Китай 2035'!G48)+(0.35*LN(1+0.6*'Ход 2035'!B54)*POWER(MAX(0,1-'Китай 2035'!I48/10),0.7))))</f>
        <v>9.0000000000000071</v>
      </c>
      <c r="C48" s="3">
        <f>MIN(1,(MIN(1,'Китай 2035'!C48+'Китай 2035'!F48+(0.08*LN(1+0.5*'Ход 2035'!C54)*MAX(0,1-('Китай 2035'!C48+'Китай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9.0000000000000071</v>
      </c>
      <c r="J48" s="10">
        <f>SUMIFS('Эффекты технологий'!$T$25:$T$240,'Эффекты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2035'!B49+'Китай 2035'!D49+('Китай 2035'!C49+'Китай 2035'!F49+'Китай 2035'!G49)+(0.35*LN(1+0.6*'Ход 2035'!B55)*POWER(MAX(0,1-'Китай 2035'!I49/10),0.7))))</f>
        <v>10</v>
      </c>
      <c r="C49" s="3">
        <f>MIN(1,(MIN(1,'Китай 2035'!C49+'Китай 2035'!F49+(0.08*LN(1+0.5*'Ход 2035'!C55)*MAX(0,1-('Китай 2035'!C49+'Китай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технологий'!$T$25:$T$240,'Эффекты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2035'!B50+'Китай 2035'!D50+('Китай 2035'!C50+'Китай 2035'!F50+'Китай 2035'!G50)+(0.35*LN(1+0.6*'Ход 2035'!B56)*POWER(MAX(0,1-'Китай 2035'!I50/10),0.7))))</f>
        <v>10</v>
      </c>
      <c r="C50" s="3">
        <f>MIN(1,(MIN(1,'Китай 2035'!C50+'Китай 2035'!F50+(0.08*LN(1+0.5*'Ход 2035'!C56)*MAX(0,1-('Китай 2035'!C50+'Китай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технологий'!$T$25:$T$240,'Эффекты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2035'!B51+'Китай 2035'!D51+('Китай 2035'!C51+'Китай 2035'!F51+'Китай 2035'!G51)+(0.35*LN(1+0.6*'Ход 2035'!B57)*POWER(MAX(0,1-'Китай 2035'!I51/10),0.7))))</f>
        <v>10</v>
      </c>
      <c r="C51" s="3">
        <f>MIN(1,(MIN(1,'Китай 2035'!C51+'Китай 2035'!F51+(0.08*LN(1+0.5*'Ход 2035'!C57)*MAX(0,1-('Китай 2035'!C51+'Китай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технологий'!$T$25:$T$240,'Эффекты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2035'!B53+'Китай 2035'!D53+('Китай 2035'!C53+'Китай 2035'!F53+'Китай 2035'!G53)+(0.35*LN(1+0.6*'Ход 2035'!B59)*POWER(MAX(0,1-'Китай 2035'!I53/10),0.7))))</f>
        <v>10</v>
      </c>
      <c r="C53" s="3">
        <f>MIN(1,(MIN(1,'Китай 2035'!C53+'Китай 2035'!F53+(0.08*LN(1+0.5*'Ход 2035'!C59)*MAX(0,1-('Китай 2035'!C53+'Китай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технологий'!$T$25:$T$240,'Эффекты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2035'!B54+'Китай 2035'!D54+('Китай 2035'!C54+'Китай 2035'!F54+'Китай 2035'!G54)+(0.35*LN(1+0.6*'Ход 2035'!B60)*POWER(MAX(0,1-'Китай 2035'!I54/10),0.7))))</f>
        <v>10</v>
      </c>
      <c r="C54" s="3">
        <f>MIN(1,(MIN(1,'Китай 2035'!C54+'Китай 2035'!F54+(0.08*LN(1+0.5*'Ход 2035'!C60)*MAX(0,1-('Китай 2035'!C54+'Китай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технологий'!$T$25:$T$240,'Эффекты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2035'!B55+'Китай 2035'!D55+('Китай 2035'!C55+'Китай 2035'!F55+'Китай 2035'!G55)+(0.35*LN(1+0.6*'Ход 2035'!B61)*POWER(MAX(0,1-'Китай 2035'!I55/10),0.7))))</f>
        <v>10</v>
      </c>
      <c r="C55" s="3">
        <f>MIN(1,(MIN(1,'Китай 2035'!C55+'Китай 2035'!F55+(0.08*LN(1+0.5*'Ход 2035'!C61)*MAX(0,1-('Китай 2035'!C55+'Китай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технологий'!$T$25:$T$240,'Эффекты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358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2036'!U6</f>
        <v>99.945014038831005</v>
      </c>
      <c r="C6" s="3"/>
      <c r="D6" s="3"/>
      <c r="E6" s="3" t="s">
        <v>321</v>
      </c>
      <c r="F6" s="3">
        <f>'Китай 2036'!K6</f>
        <v>99.460482049374079</v>
      </c>
      <c r="G6" s="3"/>
      <c r="H6" s="3"/>
      <c r="I6" s="3" t="s">
        <v>321</v>
      </c>
      <c r="J6" s="3">
        <f>'Китай 2036'!N6</f>
        <v>99.95757833889067</v>
      </c>
      <c r="K6" s="3"/>
      <c r="L6" s="3"/>
      <c r="M6" s="3" t="s">
        <v>321</v>
      </c>
      <c r="N6" s="3">
        <f>'Китай 2036'!Q6</f>
        <v>85.49108770786934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99.945014038831005</v>
      </c>
      <c r="C8" s="3" t="str">
        <f>IF(B8&lt;0,"ПРЕВЫШЕНИЕ","OK")</f>
        <v>OK</v>
      </c>
      <c r="D8" s="3"/>
      <c r="E8" s="3" t="s">
        <v>323</v>
      </c>
      <c r="F8" s="3">
        <f>F6-F7</f>
        <v>99.460482049374079</v>
      </c>
      <c r="G8" s="3" t="str">
        <f>IF(F8&lt;0,"ПРЕВЫШЕНИЕ","OK")</f>
        <v>OK</v>
      </c>
      <c r="H8" s="3"/>
      <c r="I8" s="3" t="s">
        <v>323</v>
      </c>
      <c r="J8" s="3">
        <f>J6-J7</f>
        <v>99.95757833889067</v>
      </c>
      <c r="K8" s="3" t="str">
        <f>IF(J8&lt;0,"ПРЕВЫШЕНИЕ","OK")</f>
        <v>OK</v>
      </c>
      <c r="L8" s="3"/>
      <c r="M8" s="3" t="s">
        <v>323</v>
      </c>
      <c r="N8" s="3">
        <f>N6-N7</f>
        <v>85.49108770786934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2036'!V11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2036'!V12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2036'!V13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2036'!V14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2036'!V15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2036'!V16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2036'!V17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2036'!V18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2036'!V19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2036'!V20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2036'!V21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2036'!V22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технологий'!T$16</f>
        <v>0</v>
      </c>
      <c r="H25" s="11">
        <f>'Эффекты технологий'!T$17</f>
        <v>0</v>
      </c>
      <c r="I25" s="11">
        <f>'Эффекты технологий'!T$18</f>
        <v>0</v>
      </c>
      <c r="J25" s="12"/>
      <c r="K25" s="3"/>
      <c r="L25" s="3" t="s">
        <v>558</v>
      </c>
      <c r="M25" s="3">
        <f>'Китай 2036'!V23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2036'!V24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2036'!V25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2036'!V26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IF(G29="","",VLOOKUP(G29,Технологии!$A$11:$BF$50,54,FALSE))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IF(G30="","",VLOOKUP(G30,Технологии!$A$11:$BF$50,54,FALSE))</f>
        <v/>
      </c>
      <c r="L30" s="3"/>
      <c r="M30" s="3"/>
      <c r="N30" s="12" t="s">
        <v>340</v>
      </c>
      <c r="O30" s="11">
        <f>'Эффекты технологий'!T$13</f>
        <v>0</v>
      </c>
      <c r="P30" s="11">
        <f>'Эффекты технологий'!T$14</f>
        <v>0</v>
      </c>
      <c r="Q30" s="11">
        <f>'Эффекты технологий'!T$15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IF(G31="","",VLOOKUP(G31,Технологии!$A$11:$BF$50,54,FALSE))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576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99.568253092858981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99.98373618420807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85.536982018765016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99.962880506910892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2036'!B8+'Китай 2036'!D8+('Китай 2036'!C8+'Китай 2036'!F8+'Китай 2036'!G8)+(0.35*LN(1+0.6*('Ход 2036'!B14*(1+'Эффекты технологий'!T$12)))*POWER(MAX(0,1-'Китай 2036'!I8/10),0.7))))</f>
        <v>10</v>
      </c>
      <c r="C8" s="3">
        <f>MIN(1,(MIN(1,'Китай 2036'!C8+'Китай 2036'!F8+(0.08*LN(1+0.5*('Ход 2036'!C14*(1+'Эффекты технологий'!T$12)))*MAX(0,1-('Китай 2036'!C8+'Китай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10</v>
      </c>
      <c r="J8" s="10">
        <f>SUMIFS('Эффекты технологий'!$U$25:$U$240,'Эффекты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2036'!B9+'Китай 2036'!D9+('Китай 2036'!C9+'Китай 2036'!F9+'Китай 2036'!G9)+(0.35*LN(1+0.6*('Ход 2036'!B15*(1+'Эффекты технологий'!T$12)))*POWER(MAX(0,1-'Китай 2036'!I9/10),0.7))))</f>
        <v>10</v>
      </c>
      <c r="C9" s="3">
        <f>MIN(1,(MIN(1,'Китай 2036'!C9+'Китай 2036'!F9+(0.08*LN(1+0.5*('Ход 2036'!C15*(1+'Эффекты технологий'!T$12)))*MAX(0,1-('Китай 2036'!C9+'Китай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технологий'!$U$25:$U$240,'Эффекты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2036'!B10+'Китай 2036'!D10+('Китай 2036'!C10+'Китай 2036'!F10+'Китай 2036'!G10)+(0.35*LN(1+0.6*('Ход 2036'!B16*(1+'Эффекты технологий'!T$12)))*POWER(MAX(0,1-'Китай 2036'!I10/10),0.7))))</f>
        <v>10</v>
      </c>
      <c r="C10" s="3">
        <f>MIN(1,(MIN(1,'Китай 2036'!C10+'Китай 2036'!F10+(0.08*LN(1+0.5*('Ход 2036'!C16*(1+'Эффекты технологий'!T$12)))*MAX(0,1-('Китай 2036'!C10+'Китай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технологий'!$U$25:$U$240,'Эффекты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2036'!B11+'Китай 2036'!D11+('Китай 2036'!C11+'Китай 2036'!F11+'Китай 2036'!G11)+(0.35*LN(1+0.6*('Ход 2036'!B17*(1+'Эффекты технологий'!T$12)))*POWER(MAX(0,1-'Китай 2036'!I11/10),0.7))))</f>
        <v>9.6950131932279007</v>
      </c>
      <c r="C11" s="3">
        <f>MIN(1,(MIN(1,'Китай 2036'!C11+'Китай 2036'!F11+(0.08*LN(1+0.5*('Ход 2036'!C17*(1+'Эффекты технологий'!T$12)))*MAX(0,1-('Китай 2036'!C11+'Китай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9.6950131932279007</v>
      </c>
      <c r="J11" s="10">
        <f>SUMIFS('Эффекты технологий'!$U$25:$U$240,'Эффекты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2036'!L11+'Китай 2036'!N11+('Китай 2036'!M11+'Китай 2036'!P11+'Китай 2036'!Q11)))</f>
        <v>10</v>
      </c>
      <c r="M11" s="3">
        <f>MIN(1,(MIN(1,'Китай 2036'!M11+'Китай 2036'!P11+(0.1*LN(1+0.5*('Ход 2036'!H13*(1+'Эффекты технологий'!T$10)))*POWER(MAX(0,1-'Китай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технологий'!$U$25:$U$240,'Эффекты технологий'!$C$25:$C$240,$K11,'Эффекты технологий'!$D$25:$D$240,"Значение")</f>
        <v>0</v>
      </c>
      <c r="U11" s="3" t="s">
        <v>534</v>
      </c>
      <c r="V11" s="7">
        <f>'Китай 2036'!V11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2036'!B12+'Китай 2036'!D12+('Китай 2036'!C12+'Китай 2036'!F12+'Китай 2036'!G12)+(0.35*LN(1+0.6*('Ход 2036'!B18*(1+'Эффекты технологий'!T$12)))*POWER(MAX(0,1-'Китай 2036'!I12/10),0.7))))</f>
        <v>9.5500000000000078</v>
      </c>
      <c r="C12" s="3">
        <f>MIN(1,(MIN(1,'Китай 2036'!C12+'Китай 2036'!F12+(0.08*LN(1+0.5*('Ход 2036'!C18*(1+'Эффекты технологий'!T$12)))*MAX(0,1-('Китай 2036'!C12+'Китай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9.5500000000000078</v>
      </c>
      <c r="J12" s="10">
        <f>SUMIFS('Эффекты технологий'!$U$25:$U$240,'Эффекты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2036'!L12+'Китай 2036'!N12+('Китай 2036'!M12+'Китай 2036'!P12+'Китай 2036'!Q12)))</f>
        <v>10</v>
      </c>
      <c r="M12" s="3">
        <f>MIN(1,(MIN(1,'Китай 2036'!M12+'Китай 2036'!P12+(0.1*LN(1+0.5*('Ход 2036'!H14*(1+'Эффекты технологий'!T$10)))*POWER(MAX(0,1-'Китай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технологий'!$U$25:$U$240,'Эффекты технологий'!$C$25:$C$240,$K12,'Эффекты технологий'!$D$25:$D$240,"Значение")</f>
        <v>0</v>
      </c>
      <c r="U12" s="3" t="s">
        <v>536</v>
      </c>
      <c r="V12" s="7">
        <f>'Китай 2036'!V12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2036'!B13+'Китай 2036'!D13+('Китай 2036'!C13+'Китай 2036'!F13+'Китай 2036'!G13)+(0.35*LN(1+0.6*('Ход 2036'!B19*(1+'Эффекты технологий'!T$12)))*POWER(MAX(0,1-'Китай 2036'!I13/10),0.7))))</f>
        <v>10</v>
      </c>
      <c r="C13" s="3">
        <f>MIN(1,(MIN(1,'Китай 2036'!C13+'Китай 2036'!F13+(0.08*LN(1+0.5*('Ход 2036'!C19*(1+'Эффекты технологий'!T$12)))*MAX(0,1-('Китай 2036'!C13+'Китай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технологий'!$U$25:$U$240,'Эффекты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2036'!L13+'Китай 2036'!N13+('Китай 2036'!M13+'Китай 2036'!P13+'Китай 2036'!Q13)))</f>
        <v>10</v>
      </c>
      <c r="M13" s="3">
        <f>MIN(1,(MIN(1,'Китай 2036'!M13+'Китай 2036'!P13+(0.1*LN(1+0.5*('Ход 2036'!H15*(1+'Эффекты технологий'!T$10)))*POWER(MAX(0,1-'Китай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технологий'!$U$25:$U$240,'Эффекты технологий'!$C$25:$C$240,$K13,'Эффекты технологий'!$D$25:$D$240,"Значение")</f>
        <v>0</v>
      </c>
      <c r="U13" s="3" t="s">
        <v>538</v>
      </c>
      <c r="V13" s="7">
        <f>'Китай 2036'!V13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2036'!B14+'Китай 2036'!D14+('Китай 2036'!C14+'Китай 2036'!F14+'Китай 2036'!G14)+(0.35*LN(1+0.6*('Ход 2036'!B20*(1+'Эффекты технологий'!T$12)))*POWER(MAX(0,1-'Китай 2036'!I14/10),0.7))))</f>
        <v>10</v>
      </c>
      <c r="C14" s="3">
        <f>MIN(1,(MIN(1,'Китай 2036'!C14+'Китай 2036'!F14+(0.08*LN(1+0.5*('Ход 2036'!C20*(1+'Эффекты технологий'!T$12)))*MAX(0,1-('Китай 2036'!C14+'Китай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технологий'!$U$25:$U$240,'Эффекты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2036'!L14+'Китай 2036'!N14+('Китай 2036'!M14+'Китай 2036'!P14+'Китай 2036'!Q14)))</f>
        <v>10</v>
      </c>
      <c r="M14" s="3">
        <f>MIN(1,(MIN(1,'Китай 2036'!M14+'Китай 2036'!P14+(0.1*LN(1+0.5*('Ход 2036'!H16*(1+'Эффекты технологий'!T$10)))*POWER(MAX(0,1-'Китай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технологий'!$U$25:$U$240,'Эффекты технологий'!$C$25:$C$240,$K14,'Эффекты технологий'!$D$25:$D$240,"Значение")</f>
        <v>0</v>
      </c>
      <c r="U14" s="3" t="s">
        <v>540</v>
      </c>
      <c r="V14" s="7">
        <f>'Китай 2036'!V14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2036'!B15+'Китай 2036'!D15+('Китай 2036'!C15+'Китай 2036'!F15+'Китай 2036'!G15)+(0.35*LN(1+0.6*('Ход 2036'!B21*(1+'Эффекты технологий'!T$12)))*POWER(MAX(0,1-'Китай 2036'!I15/10),0.7))))</f>
        <v>10</v>
      </c>
      <c r="C15" s="3">
        <f>MIN(1,(MIN(1,'Китай 2036'!C15+'Китай 2036'!F15+(0.08*LN(1+0.5*('Ход 2036'!C21*(1+'Эффекты технологий'!T$12)))*MAX(0,1-('Китай 2036'!C15+'Китай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технологий'!$U$25:$U$240,'Эффекты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2036'!L15+'Китай 2036'!N15+('Китай 2036'!M15+'Китай 2036'!P15+'Китай 2036'!Q15)))</f>
        <v>10</v>
      </c>
      <c r="M15" s="3">
        <f>MIN(1,(MIN(1,'Китай 2036'!M15+'Китай 2036'!P15+(0.1*LN(1+0.5*('Ход 2036'!H17*(1+'Эффекты технологий'!T$10)))*POWER(MAX(0,1-'Китай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технологий'!$U$25:$U$240,'Эффекты технологий'!$C$25:$C$240,$K15,'Эффекты технологий'!$D$25:$D$240,"Значение")</f>
        <v>0</v>
      </c>
      <c r="U15" s="3" t="s">
        <v>542</v>
      </c>
      <c r="V15" s="7">
        <f>'Китай 2036'!V15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2036'!B16+'Китай 2036'!D16+('Китай 2036'!C16+'Китай 2036'!F16+'Китай 2036'!G16)+(0.35*LN(1+0.6*('Ход 2036'!B22*(1+'Эффекты технологий'!T$12)))*POWER(MAX(0,1-'Китай 2036'!I16/10),0.7))))</f>
        <v>10</v>
      </c>
      <c r="C16" s="3">
        <f>MIN(1,(MIN(1,'Китай 2036'!C16+'Китай 2036'!F16+(0.08*LN(1+0.5*('Ход 2036'!C22*(1+'Эффекты технологий'!T$12)))*MAX(0,1-('Китай 2036'!C16+'Китай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технологий'!$U$25:$U$240,'Эффекты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2036'!L16+'Китай 2036'!N16+('Китай 2036'!M16+'Китай 2036'!P16+'Китай 2036'!Q16)))</f>
        <v>10</v>
      </c>
      <c r="M16" s="3">
        <f>MIN(1,(MIN(1,'Китай 2036'!M16+'Китай 2036'!P16+(0.1*LN(1+0.5*('Ход 2036'!H18*(1+'Эффекты технологий'!T$10)))*POWER(MAX(0,1-'Китай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технологий'!$U$25:$U$240,'Эффекты технологий'!$C$25:$C$240,$K16,'Эффекты технологий'!$D$25:$D$240,"Значение")</f>
        <v>0</v>
      </c>
      <c r="U16" s="3" t="s">
        <v>544</v>
      </c>
      <c r="V16" s="7">
        <f>'Китай 2036'!V16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2036'!B17+'Китай 2036'!D17+('Китай 2036'!C17+'Китай 2036'!F17+'Китай 2036'!G17)+(0.35*LN(1+0.6*('Ход 2036'!B23*(1+'Эффекты технологий'!T$12)))*POWER(MAX(0,1-'Китай 2036'!I17/10),0.7))))</f>
        <v>10</v>
      </c>
      <c r="C17" s="3">
        <f>MIN(1,(MIN(1,'Китай 2036'!C17+'Китай 2036'!F17+(0.08*LN(1+0.5*('Ход 2036'!C23*(1+'Эффекты технологий'!T$12)))*MAX(0,1-('Китай 2036'!C17+'Китай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технологий'!$U$25:$U$240,'Эффекты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2036'!L17+'Китай 2036'!N17+('Китай 2036'!M17+'Китай 2036'!P17+'Китай 2036'!Q17)))</f>
        <v>10</v>
      </c>
      <c r="M17" s="3">
        <f>MIN(1,(MIN(1,'Китай 2036'!M17+'Китай 2036'!P17+(0.1*LN(1+0.5*('Ход 2036'!H19*(1+'Эффекты технологий'!T$10)))*POWER(MAX(0,1-'Китай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технологий'!$U$25:$U$240,'Эффекты технологий'!$C$25:$C$240,$K17,'Эффекты технологий'!$D$25:$D$240,"Значение")</f>
        <v>0</v>
      </c>
      <c r="U17" s="3" t="s">
        <v>546</v>
      </c>
      <c r="V17" s="7">
        <f>'Китай 2036'!V17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2036'!L18+'Китай 2036'!N18+('Китай 2036'!M18+'Китай 2036'!P18+'Китай 2036'!Q18)))</f>
        <v>10</v>
      </c>
      <c r="M18" s="3">
        <f>MIN(1,(MIN(1,'Китай 2036'!M18+'Китай 2036'!P18+(0.1*LN(1+0.5*('Ход 2036'!H20*(1+'Эффекты технологий'!T$10)))*POWER(MAX(0,1-'Китай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технологий'!$U$25:$U$240,'Эффекты технологий'!$C$25:$C$240,$K18,'Эффекты технологий'!$D$25:$D$240,"Значение")</f>
        <v>0</v>
      </c>
      <c r="U18" s="3" t="s">
        <v>548</v>
      </c>
      <c r="V18" s="7">
        <f>'Китай 2036'!V18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2036'!B19+'Китай 2036'!D19+('Китай 2036'!C19+'Китай 2036'!F19+'Китай 2036'!G19)+(0.35*LN(1+0.6*'Ход 2036'!B25)*POWER(MAX(0,1-'Китай 2036'!I19/10),0.7))))</f>
        <v>10</v>
      </c>
      <c r="C19" s="3">
        <f>MIN(1,(MIN(1,'Китай 2036'!C19+'Китай 2036'!F19+(0.08*LN(1+0.5*'Ход 2036'!C25)*MAX(0,1-('Китай 2036'!C19+'Китай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технологий'!$U$25:$U$240,'Эффекты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2036'!V19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2036'!B20+'Китай 2036'!D20+('Китай 2036'!C20+'Китай 2036'!F20+'Китай 2036'!G20)+(0.35*LN(1+0.6*'Ход 2036'!B26)*POWER(MAX(0,1-'Китай 2036'!I20/10),0.7))))</f>
        <v>10</v>
      </c>
      <c r="C20" s="3">
        <f>MIN(1,(MIN(1,'Китай 2036'!C20+'Китай 2036'!F20+(0.08*LN(1+0.5*'Ход 2036'!C26)*MAX(0,1-('Китай 2036'!C20+'Китай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технологий'!$U$25:$U$240,'Эффекты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2036'!V20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2036'!B21+'Китай 2036'!D21+('Китай 2036'!C21+'Китай 2036'!F21+'Китай 2036'!G21)+(0.35*LN(1+0.6*'Ход 2036'!B27)*POWER(MAX(0,1-'Китай 2036'!I21/10),0.7))))</f>
        <v>10</v>
      </c>
      <c r="C21" s="3">
        <f>MIN(1,(MIN(1,'Китай 2036'!C21+'Китай 2036'!F21+(0.08*LN(1+0.5*'Ход 2036'!C27)*MAX(0,1-('Китай 2036'!C21+'Китай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технологий'!$U$25:$U$240,'Эффекты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2036'!V21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2036'!B22+'Китай 2036'!D22+('Китай 2036'!C22+'Китай 2036'!F22+'Китай 2036'!G22)+(0.35*LN(1+0.6*'Ход 2036'!B28)*POWER(MAX(0,1-'Китай 2036'!I22/10),0.7))))</f>
        <v>10</v>
      </c>
      <c r="C22" s="3">
        <f>MIN(1,(MIN(1,'Китай 2036'!C22+'Китай 2036'!F22+(0.08*LN(1+0.5*'Ход 2036'!C28)*MAX(0,1-('Китай 2036'!C22+'Китай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технологий'!$U$25:$U$240,'Эффекты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2036'!V22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2036'!B23+'Китай 2036'!D23+('Китай 2036'!C23+'Китай 2036'!F23+'Китай 2036'!G23)+(0.35*LN(1+0.6*'Ход 2036'!B29)*POWER(MAX(0,1-'Китай 2036'!I23/10),0.7))))</f>
        <v>10</v>
      </c>
      <c r="C23" s="3">
        <f>MIN(1,(MIN(1,'Китай 2036'!C23+'Китай 2036'!F23+(0.08*LN(1+0.5*'Ход 2036'!C29)*MAX(0,1-('Китай 2036'!C23+'Китай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технологий'!$U$25:$U$240,'Эффекты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2036'!V23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2036'!V24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2036'!B25+'Китай 2036'!D25+('Китай 2036'!C25+'Китай 2036'!F25+'Китай 2036'!G25)+(0.35*LN(1+0.6*'Ход 2036'!B31)*POWER(MAX(0,1-'Китай 2036'!I25/10),0.7))))</f>
        <v>10</v>
      </c>
      <c r="C25" s="3">
        <f>MIN(1,(MIN(1,'Китай 2036'!C25+'Китай 2036'!F25+(0.08*LN(1+0.5*'Ход 2036'!C31)*MAX(0,1-('Китай 2036'!C25+'Китай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технологий'!$U$25:$U$240,'Эффекты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2036'!V25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2036'!B26+'Китай 2036'!D26+('Китай 2036'!C26+'Китай 2036'!F26+'Китай 2036'!G26)+(0.35*LN(1+0.6*'Ход 2036'!B32)*POWER(MAX(0,1-'Китай 2036'!I26/10),0.7))))</f>
        <v>10</v>
      </c>
      <c r="C26" s="3">
        <f>MIN(1,(MIN(1,'Китай 2036'!C26+'Китай 2036'!F26+(0.08*LN(1+0.5*'Ход 2036'!C32)*MAX(0,1-('Китай 2036'!C26+'Китай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технологий'!$U$25:$U$240,'Эффекты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2036'!V26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2036'!B27+'Китай 2036'!D27+('Китай 2036'!C27+'Китай 2036'!F27+'Китай 2036'!G27)+(0.35*LN(1+0.6*'Ход 2036'!B33)*POWER(MAX(0,1-'Китай 2036'!I27/10),0.7))))</f>
        <v>10</v>
      </c>
      <c r="C27" s="3">
        <f>MIN(1,(MIN(1,'Китай 2036'!C27+'Китай 2036'!F27+(0.08*LN(1+0.5*'Ход 2036'!C33)*MAX(0,1-('Китай 2036'!C27+'Китай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технологий'!$U$25:$U$240,'Эффекты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2036'!B28+'Китай 2036'!D28+('Китай 2036'!C28+'Китай 2036'!F28+'Китай 2036'!G28)+(0.35*LN(1+0.6*'Ход 2036'!B34)*POWER(MAX(0,1-'Китай 2036'!I28/10),0.7))))</f>
        <v>10</v>
      </c>
      <c r="C28" s="3">
        <f>MIN(1,(MIN(1,'Китай 2036'!C28+'Китай 2036'!F28+(0.08*LN(1+0.5*'Ход 2036'!C34)*MAX(0,1-('Китай 2036'!C28+'Китай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технологий'!$U$25:$U$240,'Эффекты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2036'!B29+'Китай 2036'!D29+('Китай 2036'!C29+'Китай 2036'!F29+'Китай 2036'!G29)+(0.35*LN(1+0.6*'Ход 2036'!B35)*POWER(MAX(0,1-'Китай 2036'!I29/10),0.7))))</f>
        <v>10</v>
      </c>
      <c r="C29" s="3">
        <f>MIN(1,(MIN(1,'Китай 2036'!C29+'Китай 2036'!F29+(0.08*LN(1+0.5*'Ход 2036'!C35)*MAX(0,1-('Китай 2036'!C29+'Китай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технологий'!$U$25:$U$240,'Эффекты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2036'!B30+'Китай 2036'!D30+('Китай 2036'!C30+'Китай 2036'!F30+'Китай 2036'!G30)+(0.35*LN(1+0.6*'Ход 2036'!B36)*POWER(MAX(0,1-'Китай 2036'!I30/10),0.7))))</f>
        <v>9.699999999999994</v>
      </c>
      <c r="C30" s="3">
        <f>MIN(1,(MIN(1,'Китай 2036'!C30+'Китай 2036'!F30+(0.08*LN(1+0.5*'Ход 2036'!C36)*MAX(0,1-('Китай 2036'!C30+'Китай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9.699999999999994</v>
      </c>
      <c r="J30" s="10">
        <f>SUMIFS('Эффекты технологий'!$U$25:$U$240,'Эффекты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2036'!B31+'Китай 2036'!D31+('Китай 2036'!C31+'Китай 2036'!F31+'Китай 2036'!G31)+(0.35*LN(1+0.6*'Ход 2036'!B37)*POWER(MAX(0,1-'Китай 2036'!I31/10),0.7))))</f>
        <v>9.826484596414824</v>
      </c>
      <c r="C31" s="3">
        <f>MIN(1,(MIN(1,'Китай 2036'!C31+'Китай 2036'!F31+(0.08*LN(1+0.5*'Ход 2036'!C37)*MAX(0,1-('Китай 2036'!C31+'Китай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9.826484596414824</v>
      </c>
      <c r="J31" s="10">
        <f>SUMIFS('Эффекты технологий'!$U$25:$U$240,'Эффекты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2036'!B32+'Китай 2036'!D32+('Китай 2036'!C32+'Китай 2036'!F32+'Китай 2036'!G32)+(0.35*LN(1+0.6*'Ход 2036'!B38)*POWER(MAX(0,1-'Китай 2036'!I32/10),0.7))))</f>
        <v>10</v>
      </c>
      <c r="C32" s="3">
        <f>MIN(1,(MIN(1,'Китай 2036'!C32+'Китай 2036'!F32+(0.08*LN(1+0.5*'Ход 2036'!C38)*MAX(0,1-('Китай 2036'!C32+'Китай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технологий'!$U$25:$U$240,'Эффекты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2036'!B34+'Китай 2036'!D34+('Китай 2036'!C34+'Китай 2036'!F34+'Китай 2036'!G34)+(0.35*LN(1+0.6*'Ход 2036'!B40)*POWER(MAX(0,1-'Китай 2036'!I34/10),0.7))))</f>
        <v>10</v>
      </c>
      <c r="C34" s="3">
        <f>MIN(1,(MIN(1,'Китай 2036'!C34+'Китай 2036'!F34+(0.08*LN(1+0.5*'Ход 2036'!C40)*MAX(0,1-('Китай 2036'!C34+'Китай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технологий'!$U$25:$U$240,'Эффекты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2036'!B35+'Китай 2036'!D35+('Китай 2036'!C35+'Китай 2036'!F35+'Китай 2036'!G35)+(0.35*LN(1+0.6*'Ход 2036'!B41)*POWER(MAX(0,1-'Китай 2036'!I35/10),0.7))))</f>
        <v>10</v>
      </c>
      <c r="C35" s="3">
        <f>MIN(1,(MIN(1,'Китай 2036'!C35+'Китай 2036'!F35+(0.08*LN(1+0.5*'Ход 2036'!C41)*MAX(0,1-('Китай 2036'!C35+'Китай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технологий'!$U$25:$U$240,'Эффекты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2036'!B36+'Китай 2036'!D36+('Китай 2036'!C36+'Китай 2036'!F36+'Китай 2036'!G36)+(0.35*LN(1+0.6*'Ход 2036'!B42)*POWER(MAX(0,1-'Китай 2036'!I36/10),0.7))))</f>
        <v>10</v>
      </c>
      <c r="C36" s="3">
        <f>MIN(1,(MIN(1,'Китай 2036'!C36+'Китай 2036'!F36+(0.08*LN(1+0.5*'Ход 2036'!C42)*MAX(0,1-('Китай 2036'!C36+'Китай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технологий'!$U$25:$U$240,'Эффекты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2036'!B37+'Китай 2036'!D37+('Китай 2036'!C37+'Китай 2036'!F37+'Китай 2036'!G37)+(0.35*LN(1+0.6*'Ход 2036'!B43)*POWER(MAX(0,1-'Китай 2036'!I37/10),0.7))))</f>
        <v>10</v>
      </c>
      <c r="C37" s="3">
        <f>MIN(1,(MIN(1,'Китай 2036'!C37+'Китай 2036'!F37+(0.08*LN(1+0.5*'Ход 2036'!C43)*MAX(0,1-('Китай 2036'!C37+'Китай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технологий'!$U$25:$U$240,'Эффекты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2036'!B38+'Китай 2036'!D38+('Китай 2036'!C38+'Китай 2036'!F38+'Китай 2036'!G38)+(0.35*LN(1+0.6*'Ход 2036'!B44)*POWER(MAX(0,1-'Китай 2036'!I38/10),0.7))))</f>
        <v>10</v>
      </c>
      <c r="C38" s="3">
        <f>MIN(1,(MIN(1,'Китай 2036'!C38+'Китай 2036'!F38+(0.08*LN(1+0.5*'Ход 2036'!C44)*MAX(0,1-('Китай 2036'!C38+'Китай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технологий'!$U$25:$U$240,'Эффекты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2036'!B39+'Китай 2036'!D39+('Китай 2036'!C39+'Китай 2036'!F39+'Китай 2036'!G39)+(0.35*LN(1+0.6*'Ход 2036'!B45)*POWER(MAX(0,1-'Китай 2036'!I39/10),0.7))))</f>
        <v>10</v>
      </c>
      <c r="C39" s="3">
        <f>MIN(1,(MIN(1,'Китай 2036'!C39+'Китай 2036'!F39+(0.08*LN(1+0.5*'Ход 2036'!C45)*MAX(0,1-('Китай 2036'!C39+'Китай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технологий'!$U$25:$U$240,'Эффекты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2036'!B40+'Китай 2036'!D40+('Китай 2036'!C40+'Китай 2036'!F40+'Китай 2036'!G40)+(0.35*LN(1+0.6*'Ход 2036'!B46)*POWER(MAX(0,1-'Китай 2036'!I40/10),0.7))))</f>
        <v>10</v>
      </c>
      <c r="C40" s="3">
        <f>MIN(1,(MIN(1,'Китай 2036'!C40+'Китай 2036'!F40+(0.08*LN(1+0.5*'Ход 2036'!C46)*MAX(0,1-('Китай 2036'!C40+'Китай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технологий'!$U$25:$U$240,'Эффекты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2036'!B41+'Китай 2036'!D41+('Китай 2036'!C41+'Китай 2036'!F41+'Китай 2036'!G41)+(0.35*LN(1+0.6*'Ход 2036'!B47)*POWER(MAX(0,1-'Китай 2036'!I41/10),0.7))))</f>
        <v>10</v>
      </c>
      <c r="C41" s="3">
        <f>MIN(1,(MIN(1,'Китай 2036'!C41+'Китай 2036'!F41+(0.08*LN(1+0.5*'Ход 2036'!C47)*MAX(0,1-('Китай 2036'!C41+'Китай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технологий'!$U$25:$U$240,'Эффекты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2036'!B42+'Китай 2036'!D42+('Китай 2036'!C42+'Китай 2036'!F42+'Китай 2036'!G42)+(0.35*LN(1+0.6*'Ход 2036'!B48)*POWER(MAX(0,1-'Китай 2036'!I42/10),0.7))))</f>
        <v>10</v>
      </c>
      <c r="C42" s="3">
        <f>MIN(1,(MIN(1,'Китай 2036'!C42+'Китай 2036'!F42+(0.08*LN(1+0.5*'Ход 2036'!C48)*MAX(0,1-('Китай 2036'!C42+'Китай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технологий'!$U$25:$U$240,'Эффекты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2036'!B44+'Китай 2036'!D44+('Китай 2036'!C44+'Китай 2036'!F44+'Китай 2036'!G44)+(0.35*LN(1+0.6*'Ход 2036'!B50)*POWER(MAX(0,1-'Китай 2036'!I44/10),0.7))))</f>
        <v>10</v>
      </c>
      <c r="C44" s="3">
        <f>MIN(1,(MIN(1,'Китай 2036'!C44+'Китай 2036'!F44+(0.08*LN(1+0.5*'Ход 2036'!C50)*MAX(0,1-('Китай 2036'!C44+'Китай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технологий'!$U$25:$U$240,'Эффекты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2036'!B45+'Китай 2036'!D45+('Китай 2036'!C45+'Китай 2036'!F45+'Китай 2036'!G45)+(0.35*LN(1+0.6*'Ход 2036'!B51)*POWER(MAX(0,1-'Китай 2036'!I45/10),0.7))))</f>
        <v>10</v>
      </c>
      <c r="C45" s="3">
        <f>MIN(1,(MIN(1,'Китай 2036'!C45+'Китай 2036'!F45+(0.08*LN(1+0.5*'Ход 2036'!C51)*MAX(0,1-('Китай 2036'!C45+'Китай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технологий'!$U$25:$U$240,'Эффекты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2036'!B46+'Китай 2036'!D46+('Китай 2036'!C46+'Китай 2036'!F46+'Китай 2036'!G46)+(0.35*LN(1+0.6*'Ход 2036'!B52)*POWER(MAX(0,1-'Китай 2036'!I46/10),0.7))))</f>
        <v>10</v>
      </c>
      <c r="C46" s="3">
        <f>MIN(1,(MIN(1,'Китай 2036'!C46+'Китай 2036'!F46+(0.08*LN(1+0.5*'Ход 2036'!C52)*MAX(0,1-('Китай 2036'!C46+'Китай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технологий'!$U$25:$U$240,'Эффекты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2036'!B47+'Китай 2036'!D47+('Китай 2036'!C47+'Китай 2036'!F47+'Китай 2036'!G47)+(0.35*LN(1+0.6*'Ход 2036'!B53)*POWER(MAX(0,1-'Китай 2036'!I47/10),0.7))))</f>
        <v>6.4767483329206872</v>
      </c>
      <c r="C47" s="3">
        <f>MIN(1,(MIN(1,'Китай 2036'!C47+'Китай 2036'!F47+(0.08*LN(1+0.5*'Ход 2036'!C53)*MAX(0,1-('Китай 2036'!C47+'Китай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6.4767483329206872</v>
      </c>
      <c r="J47" s="10">
        <f>SUMIFS('Эффекты технологий'!$U$25:$U$240,'Эффекты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2036'!B48+'Китай 2036'!D48+('Китай 2036'!C48+'Китай 2036'!F48+'Китай 2036'!G48)+(0.35*LN(1+0.6*'Ход 2036'!B54)*POWER(MAX(0,1-'Китай 2036'!I48/10),0.7))))</f>
        <v>9.0500000000000078</v>
      </c>
      <c r="C48" s="3">
        <f>MIN(1,(MIN(1,'Китай 2036'!C48+'Китай 2036'!F48+(0.08*LN(1+0.5*'Ход 2036'!C54)*MAX(0,1-('Китай 2036'!C48+'Китай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9.0500000000000078</v>
      </c>
      <c r="J48" s="10">
        <f>SUMIFS('Эффекты технологий'!$U$25:$U$240,'Эффекты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2036'!B49+'Китай 2036'!D49+('Китай 2036'!C49+'Китай 2036'!F49+'Китай 2036'!G49)+(0.35*LN(1+0.6*'Ход 2036'!B55)*POWER(MAX(0,1-'Китай 2036'!I49/10),0.7))))</f>
        <v>10</v>
      </c>
      <c r="C49" s="3">
        <f>MIN(1,(MIN(1,'Китай 2036'!C49+'Китай 2036'!F49+(0.08*LN(1+0.5*'Ход 2036'!C55)*MAX(0,1-('Китай 2036'!C49+'Китай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технологий'!$U$25:$U$240,'Эффекты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2036'!B50+'Китай 2036'!D50+('Китай 2036'!C50+'Китай 2036'!F50+'Китай 2036'!G50)+(0.35*LN(1+0.6*'Ход 2036'!B56)*POWER(MAX(0,1-'Китай 2036'!I50/10),0.7))))</f>
        <v>10</v>
      </c>
      <c r="C50" s="3">
        <f>MIN(1,(MIN(1,'Китай 2036'!C50+'Китай 2036'!F50+(0.08*LN(1+0.5*'Ход 2036'!C56)*MAX(0,1-('Китай 2036'!C50+'Китай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технологий'!$U$25:$U$240,'Эффекты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2036'!B51+'Китай 2036'!D51+('Китай 2036'!C51+'Китай 2036'!F51+'Китай 2036'!G51)+(0.35*LN(1+0.6*'Ход 2036'!B57)*POWER(MAX(0,1-'Китай 2036'!I51/10),0.7))))</f>
        <v>10</v>
      </c>
      <c r="C51" s="3">
        <f>MIN(1,(MIN(1,'Китай 2036'!C51+'Китай 2036'!F51+(0.08*LN(1+0.5*'Ход 2036'!C57)*MAX(0,1-('Китай 2036'!C51+'Китай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технологий'!$U$25:$U$240,'Эффекты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2036'!B53+'Китай 2036'!D53+('Китай 2036'!C53+'Китай 2036'!F53+'Китай 2036'!G53)+(0.35*LN(1+0.6*'Ход 2036'!B59)*POWER(MAX(0,1-'Китай 2036'!I53/10),0.7))))</f>
        <v>10</v>
      </c>
      <c r="C53" s="3">
        <f>MIN(1,(MIN(1,'Китай 2036'!C53+'Китай 2036'!F53+(0.08*LN(1+0.5*'Ход 2036'!C59)*MAX(0,1-('Китай 2036'!C53+'Китай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технологий'!$U$25:$U$240,'Эффекты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2036'!B54+'Китай 2036'!D54+('Китай 2036'!C54+'Китай 2036'!F54+'Китай 2036'!G54)+(0.35*LN(1+0.6*'Ход 2036'!B60)*POWER(MAX(0,1-'Китай 2036'!I54/10),0.7))))</f>
        <v>10</v>
      </c>
      <c r="C54" s="3">
        <f>MIN(1,(MIN(1,'Китай 2036'!C54+'Китай 2036'!F54+(0.08*LN(1+0.5*'Ход 2036'!C60)*MAX(0,1-('Китай 2036'!C54+'Китай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технологий'!$U$25:$U$240,'Эффекты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2036'!B55+'Китай 2036'!D55+('Китай 2036'!C55+'Китай 2036'!F55+'Китай 2036'!G55)+(0.35*LN(1+0.6*'Ход 2036'!B61)*POWER(MAX(0,1-'Китай 2036'!I55/10),0.7))))</f>
        <v>10</v>
      </c>
      <c r="C55" s="3">
        <f>MIN(1,(MIN(1,'Китай 2036'!C55+'Китай 2036'!F55+(0.08*LN(1+0.5*'Ход 2036'!C61)*MAX(0,1-('Китай 2036'!C55+'Китай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технологий'!$U$25:$U$240,'Эффекты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2037'!U6</f>
        <v>99.962880506910892</v>
      </c>
      <c r="C6" s="3"/>
      <c r="D6" s="3"/>
      <c r="E6" s="3" t="s">
        <v>321</v>
      </c>
      <c r="F6" s="3">
        <f>'Китай 2037'!K6</f>
        <v>99.568253092858981</v>
      </c>
      <c r="G6" s="3"/>
      <c r="H6" s="3"/>
      <c r="I6" s="3" t="s">
        <v>321</v>
      </c>
      <c r="J6" s="3">
        <f>'Китай 2037'!N6</f>
        <v>99.98373618420807</v>
      </c>
      <c r="K6" s="3"/>
      <c r="L6" s="3"/>
      <c r="M6" s="3" t="s">
        <v>321</v>
      </c>
      <c r="N6" s="3">
        <f>'Китай 2037'!Q6</f>
        <v>85.536982018765016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99.962880506910892</v>
      </c>
      <c r="C8" s="3" t="str">
        <f>IF(B8&lt;0,"ПРЕВЫШЕНИЕ","OK")</f>
        <v>OK</v>
      </c>
      <c r="D8" s="3"/>
      <c r="E8" s="3" t="s">
        <v>323</v>
      </c>
      <c r="F8" s="3">
        <f>F6-F7</f>
        <v>99.568253092858981</v>
      </c>
      <c r="G8" s="3" t="str">
        <f>IF(F8&lt;0,"ПРЕВЫШЕНИЕ","OK")</f>
        <v>OK</v>
      </c>
      <c r="H8" s="3"/>
      <c r="I8" s="3" t="s">
        <v>323</v>
      </c>
      <c r="J8" s="3">
        <f>J6-J7</f>
        <v>99.98373618420807</v>
      </c>
      <c r="K8" s="3" t="str">
        <f>IF(J8&lt;0,"ПРЕВЫШЕНИЕ","OK")</f>
        <v>OK</v>
      </c>
      <c r="L8" s="3"/>
      <c r="M8" s="3" t="s">
        <v>323</v>
      </c>
      <c r="N8" s="3">
        <f>N6-N7</f>
        <v>85.536982018765016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2037'!V11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2037'!V12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2037'!V13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2037'!V14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2037'!V15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2037'!V16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2037'!V17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2037'!V18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2037'!V19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2037'!V20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2037'!V21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2037'!V22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технологий'!U$16</f>
        <v>0</v>
      </c>
      <c r="H25" s="11">
        <f>'Эффекты технологий'!U$17</f>
        <v>0</v>
      </c>
      <c r="I25" s="11">
        <f>'Эффекты технологий'!U$18</f>
        <v>0</v>
      </c>
      <c r="J25" s="12"/>
      <c r="K25" s="3"/>
      <c r="L25" s="3" t="s">
        <v>558</v>
      </c>
      <c r="M25" s="3">
        <f>'Китай 2037'!V23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2037'!V24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2037'!V25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2037'!V26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IF(G30="","",VLOOKUP(G30,Технологии!$A$11:$BF$50,55,FALSE))</f>
        <v/>
      </c>
      <c r="L30" s="3"/>
      <c r="M30" s="3"/>
      <c r="N30" s="12" t="s">
        <v>340</v>
      </c>
      <c r="O30" s="11">
        <f>'Эффекты технологий'!U$13</f>
        <v>0</v>
      </c>
      <c r="P30" s="11">
        <f>'Эффекты технологий'!U$14</f>
        <v>0</v>
      </c>
      <c r="Q30" s="11">
        <f>'Эффекты технологий'!U$15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577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99.660892269641494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100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85.582493762182693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99.980304914238772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2037'!B8+'Китай 2037'!D8+('Китай 2037'!C8+'Китай 2037'!F8+'Китай 2037'!G8)+(0.35*LN(1+0.6*('Ход 2037'!B14*(1+'Эффекты технологий'!U$12)))*POWER(MAX(0,1-'Китай 2037'!I8/10),0.7))))</f>
        <v>10</v>
      </c>
      <c r="C8" s="3">
        <f>MIN(1,(MIN(1,'Китай 2037'!C8+'Китай 2037'!F8+(0.08*LN(1+0.5*('Ход 2037'!C14*(1+'Эффекты технологий'!U$12)))*MAX(0,1-('Китай 2037'!C8+'Китай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10</v>
      </c>
      <c r="J8" s="10">
        <f>SUMIFS('Эффекты технологий'!$V$25:$V$240,'Эффекты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2037'!B9+'Китай 2037'!D9+('Китай 2037'!C9+'Китай 2037'!F9+'Китай 2037'!G9)+(0.35*LN(1+0.6*('Ход 2037'!B15*(1+'Эффекты технологий'!U$12)))*POWER(MAX(0,1-'Китай 2037'!I9/10),0.7))))</f>
        <v>10</v>
      </c>
      <c r="C9" s="3">
        <f>MIN(1,(MIN(1,'Китай 2037'!C9+'Китай 2037'!F9+(0.08*LN(1+0.5*('Ход 2037'!C15*(1+'Эффекты технологий'!U$12)))*MAX(0,1-('Китай 2037'!C9+'Китай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технологий'!$V$25:$V$240,'Эффекты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2037'!B10+'Китай 2037'!D10+('Китай 2037'!C10+'Китай 2037'!F10+'Китай 2037'!G10)+(0.35*LN(1+0.6*('Ход 2037'!B16*(1+'Эффекты технологий'!U$12)))*POWER(MAX(0,1-'Китай 2037'!I10/10),0.7))))</f>
        <v>10</v>
      </c>
      <c r="C10" s="3">
        <f>MIN(1,(MIN(1,'Китай 2037'!C10+'Китай 2037'!F10+(0.08*LN(1+0.5*('Ход 2037'!C16*(1+'Эффекты технологий'!U$12)))*MAX(0,1-('Китай 2037'!C10+'Китай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технологий'!$V$25:$V$240,'Эффекты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2037'!B11+'Китай 2037'!D11+('Китай 2037'!C11+'Китай 2037'!F11+'Китай 2037'!G11)+(0.35*LN(1+0.6*('Ход 2037'!B17*(1+'Эффекты технологий'!U$12)))*POWER(MAX(0,1-'Китай 2037'!I11/10),0.7))))</f>
        <v>9.9668528371354093</v>
      </c>
      <c r="C11" s="3">
        <f>MIN(1,(MIN(1,'Китай 2037'!C11+'Китай 2037'!F11+(0.08*LN(1+0.5*('Ход 2037'!C17*(1+'Эффекты технологий'!U$12)))*MAX(0,1-('Китай 2037'!C11+'Китай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9.9668528371354093</v>
      </c>
      <c r="J11" s="10">
        <f>SUMIFS('Эффекты технологий'!$V$25:$V$240,'Эффекты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2037'!L11+'Китай 2037'!N11+('Китай 2037'!M11+'Китай 2037'!P11+'Китай 2037'!Q11)))</f>
        <v>10</v>
      </c>
      <c r="M11" s="3">
        <f>MIN(1,(MIN(1,'Китай 2037'!M11+'Китай 2037'!P11+(0.1*LN(1+0.5*('Ход 2037'!H13*(1+'Эффекты технологий'!U$10)))*POWER(MAX(0,1-'Китай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технологий'!$V$25:$V$240,'Эффекты технологий'!$C$25:$C$240,$K11,'Эффекты технологий'!$D$25:$D$240,"Значение")</f>
        <v>0</v>
      </c>
      <c r="U11" s="3" t="s">
        <v>534</v>
      </c>
      <c r="V11" s="7">
        <f>'Китай 2037'!V11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2037'!B12+'Китай 2037'!D12+('Китай 2037'!C12+'Китай 2037'!F12+'Китай 2037'!G12)+(0.35*LN(1+0.6*('Ход 2037'!B18*(1+'Эффекты технологий'!U$12)))*POWER(MAX(0,1-'Китай 2037'!I12/10),0.7))))</f>
        <v>9.6000000000000085</v>
      </c>
      <c r="C12" s="3">
        <f>MIN(1,(MIN(1,'Китай 2037'!C12+'Китай 2037'!F12+(0.08*LN(1+0.5*('Ход 2037'!C18*(1+'Эффекты технологий'!U$12)))*MAX(0,1-('Китай 2037'!C12+'Китай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9.6000000000000085</v>
      </c>
      <c r="J12" s="10">
        <f>SUMIFS('Эффекты технологий'!$V$25:$V$240,'Эффекты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2037'!L12+'Китай 2037'!N12+('Китай 2037'!M12+'Китай 2037'!P12+'Китай 2037'!Q12)))</f>
        <v>10</v>
      </c>
      <c r="M12" s="3">
        <f>MIN(1,(MIN(1,'Китай 2037'!M12+'Китай 2037'!P12+(0.1*LN(1+0.5*('Ход 2037'!H14*(1+'Эффекты технологий'!U$10)))*POWER(MAX(0,1-'Китай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технологий'!$V$25:$V$240,'Эффекты технологий'!$C$25:$C$240,$K12,'Эффекты технологий'!$D$25:$D$240,"Значение")</f>
        <v>0</v>
      </c>
      <c r="U12" s="3" t="s">
        <v>536</v>
      </c>
      <c r="V12" s="7">
        <f>'Китай 2037'!V12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2037'!B13+'Китай 2037'!D13+('Китай 2037'!C13+'Китай 2037'!F13+'Китай 2037'!G13)+(0.35*LN(1+0.6*('Ход 2037'!B19*(1+'Эффекты технологий'!U$12)))*POWER(MAX(0,1-'Китай 2037'!I13/10),0.7))))</f>
        <v>10</v>
      </c>
      <c r="C13" s="3">
        <f>MIN(1,(MIN(1,'Китай 2037'!C13+'Китай 2037'!F13+(0.08*LN(1+0.5*('Ход 2037'!C19*(1+'Эффекты технологий'!U$12)))*MAX(0,1-('Китай 2037'!C13+'Китай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технологий'!$V$25:$V$240,'Эффекты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2037'!L13+'Китай 2037'!N13+('Китай 2037'!M13+'Китай 2037'!P13+'Китай 2037'!Q13)))</f>
        <v>10</v>
      </c>
      <c r="M13" s="3">
        <f>MIN(1,(MIN(1,'Китай 2037'!M13+'Китай 2037'!P13+(0.1*LN(1+0.5*('Ход 2037'!H15*(1+'Эффекты технологий'!U$10)))*POWER(MAX(0,1-'Китай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технологий'!$V$25:$V$240,'Эффекты технологий'!$C$25:$C$240,$K13,'Эффекты технологий'!$D$25:$D$240,"Значение")</f>
        <v>0</v>
      </c>
      <c r="U13" s="3" t="s">
        <v>538</v>
      </c>
      <c r="V13" s="7">
        <f>'Китай 2037'!V13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2037'!B14+'Китай 2037'!D14+('Китай 2037'!C14+'Китай 2037'!F14+'Китай 2037'!G14)+(0.35*LN(1+0.6*('Ход 2037'!B20*(1+'Эффекты технологий'!U$12)))*POWER(MAX(0,1-'Китай 2037'!I14/10),0.7))))</f>
        <v>10</v>
      </c>
      <c r="C14" s="3">
        <f>MIN(1,(MIN(1,'Китай 2037'!C14+'Китай 2037'!F14+(0.08*LN(1+0.5*('Ход 2037'!C20*(1+'Эффекты технологий'!U$12)))*MAX(0,1-('Китай 2037'!C14+'Китай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технологий'!$V$25:$V$240,'Эффекты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2037'!L14+'Китай 2037'!N14+('Китай 2037'!M14+'Китай 2037'!P14+'Китай 2037'!Q14)))</f>
        <v>10</v>
      </c>
      <c r="M14" s="3">
        <f>MIN(1,(MIN(1,'Китай 2037'!M14+'Китай 2037'!P14+(0.1*LN(1+0.5*('Ход 2037'!H16*(1+'Эффекты технологий'!U$10)))*POWER(MAX(0,1-'Китай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технологий'!$V$25:$V$240,'Эффекты технологий'!$C$25:$C$240,$K14,'Эффекты технологий'!$D$25:$D$240,"Значение")</f>
        <v>0</v>
      </c>
      <c r="U14" s="3" t="s">
        <v>540</v>
      </c>
      <c r="V14" s="7">
        <f>'Китай 2037'!V14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2037'!B15+'Китай 2037'!D15+('Китай 2037'!C15+'Китай 2037'!F15+'Китай 2037'!G15)+(0.35*LN(1+0.6*('Ход 2037'!B21*(1+'Эффекты технологий'!U$12)))*POWER(MAX(0,1-'Китай 2037'!I15/10),0.7))))</f>
        <v>10</v>
      </c>
      <c r="C15" s="3">
        <f>MIN(1,(MIN(1,'Китай 2037'!C15+'Китай 2037'!F15+(0.08*LN(1+0.5*('Ход 2037'!C21*(1+'Эффекты технологий'!U$12)))*MAX(0,1-('Китай 2037'!C15+'Китай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технологий'!$V$25:$V$240,'Эффекты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2037'!L15+'Китай 2037'!N15+('Китай 2037'!M15+'Китай 2037'!P15+'Китай 2037'!Q15)))</f>
        <v>10</v>
      </c>
      <c r="M15" s="3">
        <f>MIN(1,(MIN(1,'Китай 2037'!M15+'Китай 2037'!P15+(0.1*LN(1+0.5*('Ход 2037'!H17*(1+'Эффекты технологий'!U$10)))*POWER(MAX(0,1-'Китай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технологий'!$V$25:$V$240,'Эффекты технологий'!$C$25:$C$240,$K15,'Эффекты технологий'!$D$25:$D$240,"Значение")</f>
        <v>0</v>
      </c>
      <c r="U15" s="3" t="s">
        <v>542</v>
      </c>
      <c r="V15" s="7">
        <f>'Китай 2037'!V15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2037'!B16+'Китай 2037'!D16+('Китай 2037'!C16+'Китай 2037'!F16+'Китай 2037'!G16)+(0.35*LN(1+0.6*('Ход 2037'!B22*(1+'Эффекты технологий'!U$12)))*POWER(MAX(0,1-'Китай 2037'!I16/10),0.7))))</f>
        <v>10</v>
      </c>
      <c r="C16" s="3">
        <f>MIN(1,(MIN(1,'Китай 2037'!C16+'Китай 2037'!F16+(0.08*LN(1+0.5*('Ход 2037'!C22*(1+'Эффекты технологий'!U$12)))*MAX(0,1-('Китай 2037'!C16+'Китай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технологий'!$V$25:$V$240,'Эффекты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2037'!L16+'Китай 2037'!N16+('Китай 2037'!M16+'Китай 2037'!P16+'Китай 2037'!Q16)))</f>
        <v>10</v>
      </c>
      <c r="M16" s="3">
        <f>MIN(1,(MIN(1,'Китай 2037'!M16+'Китай 2037'!P16+(0.1*LN(1+0.5*('Ход 2037'!H18*(1+'Эффекты технологий'!U$10)))*POWER(MAX(0,1-'Китай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технологий'!$V$25:$V$240,'Эффекты технологий'!$C$25:$C$240,$K16,'Эффекты технологий'!$D$25:$D$240,"Значение")</f>
        <v>0</v>
      </c>
      <c r="U16" s="3" t="s">
        <v>544</v>
      </c>
      <c r="V16" s="7">
        <f>'Китай 2037'!V16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2037'!B17+'Китай 2037'!D17+('Китай 2037'!C17+'Китай 2037'!F17+'Китай 2037'!G17)+(0.35*LN(1+0.6*('Ход 2037'!B23*(1+'Эффекты технологий'!U$12)))*POWER(MAX(0,1-'Китай 2037'!I17/10),0.7))))</f>
        <v>10</v>
      </c>
      <c r="C17" s="3">
        <f>MIN(1,(MIN(1,'Китай 2037'!C17+'Китай 2037'!F17+(0.08*LN(1+0.5*('Ход 2037'!C23*(1+'Эффекты технологий'!U$12)))*MAX(0,1-('Китай 2037'!C17+'Китай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технологий'!$V$25:$V$240,'Эффекты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2037'!L17+'Китай 2037'!N17+('Китай 2037'!M17+'Китай 2037'!P17+'Китай 2037'!Q17)))</f>
        <v>10</v>
      </c>
      <c r="M17" s="3">
        <f>MIN(1,(MIN(1,'Китай 2037'!M17+'Китай 2037'!P17+(0.1*LN(1+0.5*('Ход 2037'!H19*(1+'Эффекты технологий'!U$10)))*POWER(MAX(0,1-'Китай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технологий'!$V$25:$V$240,'Эффекты технологий'!$C$25:$C$240,$K17,'Эффекты технологий'!$D$25:$D$240,"Значение")</f>
        <v>0</v>
      </c>
      <c r="U17" s="3" t="s">
        <v>546</v>
      </c>
      <c r="V17" s="7">
        <f>'Китай 2037'!V17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2037'!L18+'Китай 2037'!N18+('Китай 2037'!M18+'Китай 2037'!P18+'Китай 2037'!Q18)))</f>
        <v>10</v>
      </c>
      <c r="M18" s="3">
        <f>MIN(1,(MIN(1,'Китай 2037'!M18+'Китай 2037'!P18+(0.1*LN(1+0.5*('Ход 2037'!H20*(1+'Эффекты технологий'!U$10)))*POWER(MAX(0,1-'Китай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технологий'!$V$25:$V$240,'Эффекты технологий'!$C$25:$C$240,$K18,'Эффекты технологий'!$D$25:$D$240,"Значение")</f>
        <v>0</v>
      </c>
      <c r="U18" s="3" t="s">
        <v>548</v>
      </c>
      <c r="V18" s="7">
        <f>'Китай 2037'!V18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2037'!B19+'Китай 2037'!D19+('Китай 2037'!C19+'Китай 2037'!F19+'Китай 2037'!G19)+(0.35*LN(1+0.6*'Ход 2037'!B25)*POWER(MAX(0,1-'Китай 2037'!I19/10),0.7))))</f>
        <v>10</v>
      </c>
      <c r="C19" s="3">
        <f>MIN(1,(MIN(1,'Китай 2037'!C19+'Китай 2037'!F19+(0.08*LN(1+0.5*'Ход 2037'!C25)*MAX(0,1-('Китай 2037'!C19+'Китай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технологий'!$V$25:$V$240,'Эффекты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2037'!V19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2037'!B20+'Китай 2037'!D20+('Китай 2037'!C20+'Китай 2037'!F20+'Китай 2037'!G20)+(0.35*LN(1+0.6*'Ход 2037'!B26)*POWER(MAX(0,1-'Китай 2037'!I20/10),0.7))))</f>
        <v>10</v>
      </c>
      <c r="C20" s="3">
        <f>MIN(1,(MIN(1,'Китай 2037'!C20+'Китай 2037'!F20+(0.08*LN(1+0.5*'Ход 2037'!C26)*MAX(0,1-('Китай 2037'!C20+'Китай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технологий'!$V$25:$V$240,'Эффекты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2037'!V20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2037'!B21+'Китай 2037'!D21+('Китай 2037'!C21+'Китай 2037'!F21+'Китай 2037'!G21)+(0.35*LN(1+0.6*'Ход 2037'!B27)*POWER(MAX(0,1-'Китай 2037'!I21/10),0.7))))</f>
        <v>10</v>
      </c>
      <c r="C21" s="3">
        <f>MIN(1,(MIN(1,'Китай 2037'!C21+'Китай 2037'!F21+(0.08*LN(1+0.5*'Ход 2037'!C27)*MAX(0,1-('Китай 2037'!C21+'Китай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технологий'!$V$25:$V$240,'Эффекты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2037'!V21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2037'!B22+'Китай 2037'!D22+('Китай 2037'!C22+'Китай 2037'!F22+'Китай 2037'!G22)+(0.35*LN(1+0.6*'Ход 2037'!B28)*POWER(MAX(0,1-'Китай 2037'!I22/10),0.7))))</f>
        <v>10</v>
      </c>
      <c r="C22" s="3">
        <f>MIN(1,(MIN(1,'Китай 2037'!C22+'Китай 2037'!F22+(0.08*LN(1+0.5*'Ход 2037'!C28)*MAX(0,1-('Китай 2037'!C22+'Китай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технологий'!$V$25:$V$240,'Эффекты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2037'!V22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2037'!B23+'Китай 2037'!D23+('Китай 2037'!C23+'Китай 2037'!F23+'Китай 2037'!G23)+(0.35*LN(1+0.6*'Ход 2037'!B29)*POWER(MAX(0,1-'Китай 2037'!I23/10),0.7))))</f>
        <v>10</v>
      </c>
      <c r="C23" s="3">
        <f>MIN(1,(MIN(1,'Китай 2037'!C23+'Китай 2037'!F23+(0.08*LN(1+0.5*'Ход 2037'!C29)*MAX(0,1-('Китай 2037'!C23+'Китай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технологий'!$V$25:$V$240,'Эффекты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2037'!V23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2037'!V24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2037'!B25+'Китай 2037'!D25+('Китай 2037'!C25+'Китай 2037'!F25+'Китай 2037'!G25)+(0.35*LN(1+0.6*'Ход 2037'!B31)*POWER(MAX(0,1-'Китай 2037'!I25/10),0.7))))</f>
        <v>10</v>
      </c>
      <c r="C25" s="3">
        <f>MIN(1,(MIN(1,'Китай 2037'!C25+'Китай 2037'!F25+(0.08*LN(1+0.5*'Ход 2037'!C31)*MAX(0,1-('Китай 2037'!C25+'Китай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технологий'!$V$25:$V$240,'Эффекты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2037'!V25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2037'!B26+'Китай 2037'!D26+('Китай 2037'!C26+'Китай 2037'!F26+'Китай 2037'!G26)+(0.35*LN(1+0.6*'Ход 2037'!B32)*POWER(MAX(0,1-'Китай 2037'!I26/10),0.7))))</f>
        <v>10</v>
      </c>
      <c r="C26" s="3">
        <f>MIN(1,(MIN(1,'Китай 2037'!C26+'Китай 2037'!F26+(0.08*LN(1+0.5*'Ход 2037'!C32)*MAX(0,1-('Китай 2037'!C26+'Китай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технологий'!$V$25:$V$240,'Эффекты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2037'!V26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2037'!B27+'Китай 2037'!D27+('Китай 2037'!C27+'Китай 2037'!F27+'Китай 2037'!G27)+(0.35*LN(1+0.6*'Ход 2037'!B33)*POWER(MAX(0,1-'Китай 2037'!I27/10),0.7))))</f>
        <v>10</v>
      </c>
      <c r="C27" s="3">
        <f>MIN(1,(MIN(1,'Китай 2037'!C27+'Китай 2037'!F27+(0.08*LN(1+0.5*'Ход 2037'!C33)*MAX(0,1-('Китай 2037'!C27+'Китай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технологий'!$V$25:$V$240,'Эффекты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2037'!B28+'Китай 2037'!D28+('Китай 2037'!C28+'Китай 2037'!F28+'Китай 2037'!G28)+(0.35*LN(1+0.6*'Ход 2037'!B34)*POWER(MAX(0,1-'Китай 2037'!I28/10),0.7))))</f>
        <v>10</v>
      </c>
      <c r="C28" s="3">
        <f>MIN(1,(MIN(1,'Китай 2037'!C28+'Китай 2037'!F28+(0.08*LN(1+0.5*'Ход 2037'!C34)*MAX(0,1-('Китай 2037'!C28+'Китай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технологий'!$V$25:$V$240,'Эффекты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2037'!B29+'Китай 2037'!D29+('Китай 2037'!C29+'Китай 2037'!F29+'Китай 2037'!G29)+(0.35*LN(1+0.6*'Ход 2037'!B35)*POWER(MAX(0,1-'Китай 2037'!I29/10),0.7))))</f>
        <v>10</v>
      </c>
      <c r="C29" s="3">
        <f>MIN(1,(MIN(1,'Китай 2037'!C29+'Китай 2037'!F29+(0.08*LN(1+0.5*'Ход 2037'!C35)*MAX(0,1-('Китай 2037'!C29+'Китай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технологий'!$V$25:$V$240,'Эффекты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2037'!B30+'Китай 2037'!D30+('Китай 2037'!C30+'Китай 2037'!F30+'Китай 2037'!G30)+(0.35*LN(1+0.6*'Ход 2037'!B36)*POWER(MAX(0,1-'Китай 2037'!I30/10),0.7))))</f>
        <v>9.8999999999999932</v>
      </c>
      <c r="C30" s="3">
        <f>MIN(1,(MIN(1,'Китай 2037'!C30+'Китай 2037'!F30+(0.08*LN(1+0.5*'Ход 2037'!C36)*MAX(0,1-('Китай 2037'!C30+'Китай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9.8999999999999932</v>
      </c>
      <c r="J30" s="10">
        <f>SUMIFS('Эффекты технологий'!$V$25:$V$240,'Эффекты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2037'!B31+'Китай 2037'!D31+('Китай 2037'!C31+'Китай 2037'!F31+'Китай 2037'!G31)+(0.35*LN(1+0.6*'Ход 2037'!B37)*POWER(MAX(0,1-'Китай 2037'!I31/10),0.7))))</f>
        <v>10</v>
      </c>
      <c r="C31" s="3">
        <f>MIN(1,(MIN(1,'Китай 2037'!C31+'Китай 2037'!F31+(0.08*LN(1+0.5*'Ход 2037'!C37)*MAX(0,1-('Китай 2037'!C31+'Китай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технологий'!$V$25:$V$240,'Эффекты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2037'!B32+'Китай 2037'!D32+('Китай 2037'!C32+'Китай 2037'!F32+'Китай 2037'!G32)+(0.35*LN(1+0.6*'Ход 2037'!B38)*POWER(MAX(0,1-'Китай 2037'!I32/10),0.7))))</f>
        <v>10</v>
      </c>
      <c r="C32" s="3">
        <f>MIN(1,(MIN(1,'Китай 2037'!C32+'Китай 2037'!F32+(0.08*LN(1+0.5*'Ход 2037'!C38)*MAX(0,1-('Китай 2037'!C32+'Китай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технологий'!$V$25:$V$240,'Эффекты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2037'!B34+'Китай 2037'!D34+('Китай 2037'!C34+'Китай 2037'!F34+'Китай 2037'!G34)+(0.35*LN(1+0.6*'Ход 2037'!B40)*POWER(MAX(0,1-'Китай 2037'!I34/10),0.7))))</f>
        <v>10</v>
      </c>
      <c r="C34" s="3">
        <f>MIN(1,(MIN(1,'Китай 2037'!C34+'Китай 2037'!F34+(0.08*LN(1+0.5*'Ход 2037'!C40)*MAX(0,1-('Китай 2037'!C34+'Китай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технологий'!$V$25:$V$240,'Эффекты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2037'!B35+'Китай 2037'!D35+('Китай 2037'!C35+'Китай 2037'!F35+'Китай 2037'!G35)+(0.35*LN(1+0.6*'Ход 2037'!B41)*POWER(MAX(0,1-'Китай 2037'!I35/10),0.7))))</f>
        <v>10</v>
      </c>
      <c r="C35" s="3">
        <f>MIN(1,(MIN(1,'Китай 2037'!C35+'Китай 2037'!F35+(0.08*LN(1+0.5*'Ход 2037'!C41)*MAX(0,1-('Китай 2037'!C35+'Китай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технологий'!$V$25:$V$240,'Эффекты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2037'!B36+'Китай 2037'!D36+('Китай 2037'!C36+'Китай 2037'!F36+'Китай 2037'!G36)+(0.35*LN(1+0.6*'Ход 2037'!B42)*POWER(MAX(0,1-'Китай 2037'!I36/10),0.7))))</f>
        <v>10</v>
      </c>
      <c r="C36" s="3">
        <f>MIN(1,(MIN(1,'Китай 2037'!C36+'Китай 2037'!F36+(0.08*LN(1+0.5*'Ход 2037'!C42)*MAX(0,1-('Китай 2037'!C36+'Китай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технологий'!$V$25:$V$240,'Эффекты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2037'!B37+'Китай 2037'!D37+('Китай 2037'!C37+'Китай 2037'!F37+'Китай 2037'!G37)+(0.35*LN(1+0.6*'Ход 2037'!B43)*POWER(MAX(0,1-'Китай 2037'!I37/10),0.7))))</f>
        <v>10</v>
      </c>
      <c r="C37" s="3">
        <f>MIN(1,(MIN(1,'Китай 2037'!C37+'Китай 2037'!F37+(0.08*LN(1+0.5*'Ход 2037'!C43)*MAX(0,1-('Китай 2037'!C37+'Китай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технологий'!$V$25:$V$240,'Эффекты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2037'!B38+'Китай 2037'!D38+('Китай 2037'!C38+'Китай 2037'!F38+'Китай 2037'!G38)+(0.35*LN(1+0.6*'Ход 2037'!B44)*POWER(MAX(0,1-'Китай 2037'!I38/10),0.7))))</f>
        <v>10</v>
      </c>
      <c r="C38" s="3">
        <f>MIN(1,(MIN(1,'Китай 2037'!C38+'Китай 2037'!F38+(0.08*LN(1+0.5*'Ход 2037'!C44)*MAX(0,1-('Китай 2037'!C38+'Китай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технологий'!$V$25:$V$240,'Эффекты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2037'!B39+'Китай 2037'!D39+('Китай 2037'!C39+'Китай 2037'!F39+'Китай 2037'!G39)+(0.35*LN(1+0.6*'Ход 2037'!B45)*POWER(MAX(0,1-'Китай 2037'!I39/10),0.7))))</f>
        <v>10</v>
      </c>
      <c r="C39" s="3">
        <f>MIN(1,(MIN(1,'Китай 2037'!C39+'Китай 2037'!F39+(0.08*LN(1+0.5*'Ход 2037'!C45)*MAX(0,1-('Китай 2037'!C39+'Китай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технологий'!$V$25:$V$240,'Эффекты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2037'!B40+'Китай 2037'!D40+('Китай 2037'!C40+'Китай 2037'!F40+'Китай 2037'!G40)+(0.35*LN(1+0.6*'Ход 2037'!B46)*POWER(MAX(0,1-'Китай 2037'!I40/10),0.7))))</f>
        <v>10</v>
      </c>
      <c r="C40" s="3">
        <f>MIN(1,(MIN(1,'Китай 2037'!C40+'Китай 2037'!F40+(0.08*LN(1+0.5*'Ход 2037'!C46)*MAX(0,1-('Китай 2037'!C40+'Китай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технологий'!$V$25:$V$240,'Эффекты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2037'!B41+'Китай 2037'!D41+('Китай 2037'!C41+'Китай 2037'!F41+'Китай 2037'!G41)+(0.35*LN(1+0.6*'Ход 2037'!B47)*POWER(MAX(0,1-'Китай 2037'!I41/10),0.7))))</f>
        <v>10</v>
      </c>
      <c r="C41" s="3">
        <f>MIN(1,(MIN(1,'Китай 2037'!C41+'Китай 2037'!F41+(0.08*LN(1+0.5*'Ход 2037'!C47)*MAX(0,1-('Китай 2037'!C41+'Китай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технологий'!$V$25:$V$240,'Эффекты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2037'!B42+'Китай 2037'!D42+('Китай 2037'!C42+'Китай 2037'!F42+'Китай 2037'!G42)+(0.35*LN(1+0.6*'Ход 2037'!B48)*POWER(MAX(0,1-'Китай 2037'!I42/10),0.7))))</f>
        <v>10</v>
      </c>
      <c r="C42" s="3">
        <f>MIN(1,(MIN(1,'Китай 2037'!C42+'Китай 2037'!F42+(0.08*LN(1+0.5*'Ход 2037'!C48)*MAX(0,1-('Китай 2037'!C42+'Китай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технологий'!$V$25:$V$240,'Эффекты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2037'!B44+'Китай 2037'!D44+('Китай 2037'!C44+'Китай 2037'!F44+'Китай 2037'!G44)+(0.35*LN(1+0.6*'Ход 2037'!B50)*POWER(MAX(0,1-'Китай 2037'!I44/10),0.7))))</f>
        <v>10</v>
      </c>
      <c r="C44" s="3">
        <f>MIN(1,(MIN(1,'Китай 2037'!C44+'Китай 2037'!F44+(0.08*LN(1+0.5*'Ход 2037'!C50)*MAX(0,1-('Китай 2037'!C44+'Китай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технологий'!$V$25:$V$240,'Эффекты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2037'!B45+'Китай 2037'!D45+('Китай 2037'!C45+'Китай 2037'!F45+'Китай 2037'!G45)+(0.35*LN(1+0.6*'Ход 2037'!B51)*POWER(MAX(0,1-'Китай 2037'!I45/10),0.7))))</f>
        <v>10</v>
      </c>
      <c r="C45" s="3">
        <f>MIN(1,(MIN(1,'Китай 2037'!C45+'Китай 2037'!F45+(0.08*LN(1+0.5*'Ход 2037'!C51)*MAX(0,1-('Китай 2037'!C45+'Китай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технологий'!$V$25:$V$240,'Эффекты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2037'!B46+'Китай 2037'!D46+('Китай 2037'!C46+'Китай 2037'!F46+'Китай 2037'!G46)+(0.35*LN(1+0.6*'Ход 2037'!B52)*POWER(MAX(0,1-'Китай 2037'!I46/10),0.7))))</f>
        <v>10</v>
      </c>
      <c r="C46" s="3">
        <f>MIN(1,(MIN(1,'Китай 2037'!C46+'Китай 2037'!F46+(0.08*LN(1+0.5*'Ход 2037'!C52)*MAX(0,1-('Китай 2037'!C46+'Китай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технологий'!$V$25:$V$240,'Эффекты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2037'!B47+'Китай 2037'!D47+('Китай 2037'!C47+'Китай 2037'!F47+'Китай 2037'!G47)+(0.35*LN(1+0.6*'Ход 2037'!B53)*POWER(MAX(0,1-'Китай 2037'!I47/10),0.7))))</f>
        <v>6.5344231662127559</v>
      </c>
      <c r="C47" s="3">
        <f>MIN(1,(MIN(1,'Китай 2037'!C47+'Китай 2037'!F47+(0.08*LN(1+0.5*'Ход 2037'!C53)*MAX(0,1-('Китай 2037'!C47+'Китай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6.5344231662127559</v>
      </c>
      <c r="J47" s="10">
        <f>SUMIFS('Эффекты технологий'!$V$25:$V$240,'Эффекты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2037'!B48+'Китай 2037'!D48+('Китай 2037'!C48+'Китай 2037'!F48+'Китай 2037'!G48)+(0.35*LN(1+0.6*'Ход 2037'!B54)*POWER(MAX(0,1-'Китай 2037'!I48/10),0.7))))</f>
        <v>9.1000000000000085</v>
      </c>
      <c r="C48" s="3">
        <f>MIN(1,(MIN(1,'Китай 2037'!C48+'Китай 2037'!F48+(0.08*LN(1+0.5*'Ход 2037'!C54)*MAX(0,1-('Китай 2037'!C48+'Китай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9.1000000000000085</v>
      </c>
      <c r="J48" s="10">
        <f>SUMIFS('Эффекты технологий'!$V$25:$V$240,'Эффекты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2037'!B49+'Китай 2037'!D49+('Китай 2037'!C49+'Китай 2037'!F49+'Китай 2037'!G49)+(0.35*LN(1+0.6*'Ход 2037'!B55)*POWER(MAX(0,1-'Китай 2037'!I49/10),0.7))))</f>
        <v>10</v>
      </c>
      <c r="C49" s="3">
        <f>MIN(1,(MIN(1,'Китай 2037'!C49+'Китай 2037'!F49+(0.08*LN(1+0.5*'Ход 2037'!C55)*MAX(0,1-('Китай 2037'!C49+'Китай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технологий'!$V$25:$V$240,'Эффекты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2037'!B50+'Китай 2037'!D50+('Китай 2037'!C50+'Китай 2037'!F50+'Китай 2037'!G50)+(0.35*LN(1+0.6*'Ход 2037'!B56)*POWER(MAX(0,1-'Китай 2037'!I50/10),0.7))))</f>
        <v>10</v>
      </c>
      <c r="C50" s="3">
        <f>MIN(1,(MIN(1,'Китай 2037'!C50+'Китай 2037'!F50+(0.08*LN(1+0.5*'Ход 2037'!C56)*MAX(0,1-('Китай 2037'!C50+'Китай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технологий'!$V$25:$V$240,'Эффекты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2037'!B51+'Китай 2037'!D51+('Китай 2037'!C51+'Китай 2037'!F51+'Китай 2037'!G51)+(0.35*LN(1+0.6*'Ход 2037'!B57)*POWER(MAX(0,1-'Китай 2037'!I51/10),0.7))))</f>
        <v>10</v>
      </c>
      <c r="C51" s="3">
        <f>MIN(1,(MIN(1,'Китай 2037'!C51+'Китай 2037'!F51+(0.08*LN(1+0.5*'Ход 2037'!C57)*MAX(0,1-('Китай 2037'!C51+'Китай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технологий'!$V$25:$V$240,'Эффекты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2037'!B53+'Китай 2037'!D53+('Китай 2037'!C53+'Китай 2037'!F53+'Китай 2037'!G53)+(0.35*LN(1+0.6*'Ход 2037'!B59)*POWER(MAX(0,1-'Китай 2037'!I53/10),0.7))))</f>
        <v>10</v>
      </c>
      <c r="C53" s="3">
        <f>MIN(1,(MIN(1,'Китай 2037'!C53+'Китай 2037'!F53+(0.08*LN(1+0.5*'Ход 2037'!C59)*MAX(0,1-('Китай 2037'!C53+'Китай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технологий'!$V$25:$V$240,'Эффекты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2037'!B54+'Китай 2037'!D54+('Китай 2037'!C54+'Китай 2037'!F54+'Китай 2037'!G54)+(0.35*LN(1+0.6*'Ход 2037'!B60)*POWER(MAX(0,1-'Китай 2037'!I54/10),0.7))))</f>
        <v>10</v>
      </c>
      <c r="C54" s="3">
        <f>MIN(1,(MIN(1,'Китай 2037'!C54+'Китай 2037'!F54+(0.08*LN(1+0.5*'Ход 2037'!C60)*MAX(0,1-('Китай 2037'!C54+'Китай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технологий'!$V$25:$V$240,'Эффекты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2037'!B55+'Китай 2037'!D55+('Китай 2037'!C55+'Китай 2037'!F55+'Китай 2037'!G55)+(0.35*LN(1+0.6*'Ход 2037'!B61)*POWER(MAX(0,1-'Китай 2037'!I55/10),0.7))))</f>
        <v>10</v>
      </c>
      <c r="C55" s="3">
        <f>MIN(1,(MIN(1,'Китай 2037'!C55+'Китай 2037'!F55+(0.08*LN(1+0.5*'Ход 2037'!C61)*MAX(0,1-('Китай 2037'!C55+'Китай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технологий'!$V$25:$V$240,'Эффекты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360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2038'!U6</f>
        <v>99.980304914238772</v>
      </c>
      <c r="C6" s="3"/>
      <c r="D6" s="3"/>
      <c r="E6" s="3" t="s">
        <v>321</v>
      </c>
      <c r="F6" s="3">
        <f>'Китай 2038'!K6</f>
        <v>99.660892269641494</v>
      </c>
      <c r="G6" s="3"/>
      <c r="H6" s="3"/>
      <c r="I6" s="3" t="s">
        <v>321</v>
      </c>
      <c r="J6" s="3">
        <f>'Китай 2038'!N6</f>
        <v>100</v>
      </c>
      <c r="K6" s="3"/>
      <c r="L6" s="3"/>
      <c r="M6" s="3" t="s">
        <v>321</v>
      </c>
      <c r="N6" s="3">
        <f>'Китай 2038'!Q6</f>
        <v>85.582493762182693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99.980304914238772</v>
      </c>
      <c r="C8" s="3" t="str">
        <f>IF(B8&lt;0,"ПРЕВЫШЕНИЕ","OK")</f>
        <v>OK</v>
      </c>
      <c r="D8" s="3"/>
      <c r="E8" s="3" t="s">
        <v>323</v>
      </c>
      <c r="F8" s="3">
        <f>F6-F7</f>
        <v>99.660892269641494</v>
      </c>
      <c r="G8" s="3" t="str">
        <f>IF(F8&lt;0,"ПРЕВЫШЕНИЕ","OK")</f>
        <v>OK</v>
      </c>
      <c r="H8" s="3"/>
      <c r="I8" s="3" t="s">
        <v>323</v>
      </c>
      <c r="J8" s="3">
        <f>J6-J7</f>
        <v>100</v>
      </c>
      <c r="K8" s="3" t="str">
        <f>IF(J8&lt;0,"ПРЕВЫШЕНИЕ","OK")</f>
        <v>OK</v>
      </c>
      <c r="L8" s="3"/>
      <c r="M8" s="3" t="s">
        <v>323</v>
      </c>
      <c r="N8" s="3">
        <f>N6-N7</f>
        <v>85.582493762182693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2038'!V11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2038'!V12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2038'!V13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2038'!V14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2038'!V15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2038'!V16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2038'!V17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2038'!V18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2038'!V19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2038'!V20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2038'!V21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2038'!V22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технологий'!V$16</f>
        <v>0</v>
      </c>
      <c r="H25" s="11">
        <f>'Эффекты технологий'!V$17</f>
        <v>0</v>
      </c>
      <c r="I25" s="11">
        <f>'Эффекты технологий'!V$18</f>
        <v>0</v>
      </c>
      <c r="J25" s="12"/>
      <c r="K25" s="3"/>
      <c r="L25" s="3" t="s">
        <v>558</v>
      </c>
      <c r="M25" s="3">
        <f>'Китай 2038'!V23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2038'!V24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2038'!V25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2038'!V26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IF(G30="","",VLOOKUP(G30,Технологии!$A$11:$BF$50,56,FALSE))</f>
        <v/>
      </c>
      <c r="L30" s="3"/>
      <c r="M30" s="3"/>
      <c r="N30" s="12" t="s">
        <v>340</v>
      </c>
      <c r="O30" s="11">
        <f>'Эффекты технологий'!V$13</f>
        <v>0</v>
      </c>
      <c r="P30" s="11">
        <f>'Эффекты технологий'!V$14</f>
        <v>0</v>
      </c>
      <c r="Q30" s="11">
        <f>'Эффекты технологий'!V$15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578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99.690498633033187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100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85.627629461909436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99.984397441543109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2038'!B8+'Китай 2038'!D8+('Китай 2038'!C8+'Китай 2038'!F8+'Китай 2038'!G8)+(0.35*LN(1+0.6*('Ход 2038'!B14*(1+'Эффекты технологий'!V$12)))*POWER(MAX(0,1-'Китай 2038'!I8/10),0.7))))</f>
        <v>10</v>
      </c>
      <c r="C8" s="3">
        <f>MIN(1,(MIN(1,'Китай 2038'!C8+'Китай 2038'!F8+(0.08*LN(1+0.5*('Ход 2038'!C14*(1+'Эффекты технологий'!V$12)))*MAX(0,1-('Китай 2038'!C8+'Китай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10</v>
      </c>
      <c r="J8" s="10">
        <f>SUMIFS('Эффекты технологий'!$W$25:$W$240,'Эффекты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2038'!B9+'Китай 2038'!D9+('Китай 2038'!C9+'Китай 2038'!F9+'Китай 2038'!G9)+(0.35*LN(1+0.6*('Ход 2038'!B15*(1+'Эффекты технологий'!V$12)))*POWER(MAX(0,1-'Китай 2038'!I9/10),0.7))))</f>
        <v>10</v>
      </c>
      <c r="C9" s="3">
        <f>MIN(1,(MIN(1,'Китай 2038'!C9+'Китай 2038'!F9+(0.08*LN(1+0.5*('Ход 2038'!C15*(1+'Эффекты технологий'!V$12)))*MAX(0,1-('Китай 2038'!C9+'Китай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технологий'!$W$25:$W$240,'Эффекты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2038'!B10+'Китай 2038'!D10+('Китай 2038'!C10+'Китай 2038'!F10+'Китай 2038'!G10)+(0.35*LN(1+0.6*('Ход 2038'!B16*(1+'Эффекты технологий'!V$12)))*POWER(MAX(0,1-'Китай 2038'!I10/10),0.7))))</f>
        <v>10</v>
      </c>
      <c r="C10" s="3">
        <f>MIN(1,(MIN(1,'Китай 2038'!C10+'Китай 2038'!F10+(0.08*LN(1+0.5*('Ход 2038'!C16*(1+'Эффекты технологий'!V$12)))*MAX(0,1-('Китай 2038'!C10+'Китай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технологий'!$W$25:$W$240,'Эффекты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2038'!B11+'Китай 2038'!D11+('Китай 2038'!C11+'Китай 2038'!F11+'Китай 2038'!G11)+(0.35*LN(1+0.6*('Ход 2038'!B17*(1+'Эффекты технологий'!V$12)))*POWER(MAX(0,1-'Китай 2038'!I11/10),0.7))))</f>
        <v>10</v>
      </c>
      <c r="C11" s="3">
        <f>MIN(1,(MIN(1,'Китай 2038'!C11+'Китай 2038'!F11+(0.08*LN(1+0.5*('Ход 2038'!C17*(1+'Эффекты технологий'!V$12)))*MAX(0,1-('Китай 2038'!C11+'Китай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10</v>
      </c>
      <c r="J11" s="10">
        <f>SUMIFS('Эффекты технологий'!$W$25:$W$240,'Эффекты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2038'!L11+'Китай 2038'!N11+('Китай 2038'!M11+'Китай 2038'!P11+'Китай 2038'!Q11)))</f>
        <v>10</v>
      </c>
      <c r="M11" s="3">
        <f>MIN(1,(MIN(1,'Китай 2038'!M11+'Китай 2038'!P11+(0.1*LN(1+0.5*('Ход 2038'!H13*(1+'Эффекты технологий'!V$10)))*POWER(MAX(0,1-'Китай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технологий'!$W$25:$W$240,'Эффекты технологий'!$C$25:$C$240,$K11,'Эффекты технологий'!$D$25:$D$240,"Значение")</f>
        <v>0</v>
      </c>
      <c r="U11" s="3" t="s">
        <v>534</v>
      </c>
      <c r="V11" s="7">
        <f>'Китай 2038'!V11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2038'!B12+'Китай 2038'!D12+('Китай 2038'!C12+'Китай 2038'!F12+'Китай 2038'!G12)+(0.35*LN(1+0.6*('Ход 2038'!B18*(1+'Эффекты технологий'!V$12)))*POWER(MAX(0,1-'Китай 2038'!I12/10),0.7))))</f>
        <v>9.6500000000000092</v>
      </c>
      <c r="C12" s="3">
        <f>MIN(1,(MIN(1,'Китай 2038'!C12+'Китай 2038'!F12+(0.08*LN(1+0.5*('Ход 2038'!C18*(1+'Эффекты технологий'!V$12)))*MAX(0,1-('Китай 2038'!C12+'Китай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9.6500000000000092</v>
      </c>
      <c r="J12" s="10">
        <f>SUMIFS('Эффекты технологий'!$W$25:$W$240,'Эффекты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2038'!L12+'Китай 2038'!N12+('Китай 2038'!M12+'Китай 2038'!P12+'Китай 2038'!Q12)))</f>
        <v>10</v>
      </c>
      <c r="M12" s="3">
        <f>MIN(1,(MIN(1,'Китай 2038'!M12+'Китай 2038'!P12+(0.1*LN(1+0.5*('Ход 2038'!H14*(1+'Эффекты технологий'!V$10)))*POWER(MAX(0,1-'Китай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технологий'!$W$25:$W$240,'Эффекты технологий'!$C$25:$C$240,$K12,'Эффекты технологий'!$D$25:$D$240,"Значение")</f>
        <v>0</v>
      </c>
      <c r="U12" s="3" t="s">
        <v>536</v>
      </c>
      <c r="V12" s="7">
        <f>'Китай 2038'!V12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2038'!B13+'Китай 2038'!D13+('Китай 2038'!C13+'Китай 2038'!F13+'Китай 2038'!G13)+(0.35*LN(1+0.6*('Ход 2038'!B19*(1+'Эффекты технологий'!V$12)))*POWER(MAX(0,1-'Китай 2038'!I13/10),0.7))))</f>
        <v>10</v>
      </c>
      <c r="C13" s="3">
        <f>MIN(1,(MIN(1,'Китай 2038'!C13+'Китай 2038'!F13+(0.08*LN(1+0.5*('Ход 2038'!C19*(1+'Эффекты технологий'!V$12)))*MAX(0,1-('Китай 2038'!C13+'Китай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технологий'!$W$25:$W$240,'Эффекты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2038'!L13+'Китай 2038'!N13+('Китай 2038'!M13+'Китай 2038'!P13+'Китай 2038'!Q13)))</f>
        <v>10</v>
      </c>
      <c r="M13" s="3">
        <f>MIN(1,(MIN(1,'Китай 2038'!M13+'Китай 2038'!P13+(0.1*LN(1+0.5*('Ход 2038'!H15*(1+'Эффекты технологий'!V$10)))*POWER(MAX(0,1-'Китай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технологий'!$W$25:$W$240,'Эффекты технологий'!$C$25:$C$240,$K13,'Эффекты технологий'!$D$25:$D$240,"Значение")</f>
        <v>0</v>
      </c>
      <c r="U13" s="3" t="s">
        <v>538</v>
      </c>
      <c r="V13" s="7">
        <f>'Китай 2038'!V13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2038'!B14+'Китай 2038'!D14+('Китай 2038'!C14+'Китай 2038'!F14+'Китай 2038'!G14)+(0.35*LN(1+0.6*('Ход 2038'!B20*(1+'Эффекты технологий'!V$12)))*POWER(MAX(0,1-'Китай 2038'!I14/10),0.7))))</f>
        <v>10</v>
      </c>
      <c r="C14" s="3">
        <f>MIN(1,(MIN(1,'Китай 2038'!C14+'Китай 2038'!F14+(0.08*LN(1+0.5*('Ход 2038'!C20*(1+'Эффекты технологий'!V$12)))*MAX(0,1-('Китай 2038'!C14+'Китай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технологий'!$W$25:$W$240,'Эффекты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2038'!L14+'Китай 2038'!N14+('Китай 2038'!M14+'Китай 2038'!P14+'Китай 2038'!Q14)))</f>
        <v>10</v>
      </c>
      <c r="M14" s="3">
        <f>MIN(1,(MIN(1,'Китай 2038'!M14+'Китай 2038'!P14+(0.1*LN(1+0.5*('Ход 2038'!H16*(1+'Эффекты технологий'!V$10)))*POWER(MAX(0,1-'Китай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технологий'!$W$25:$W$240,'Эффекты технологий'!$C$25:$C$240,$K14,'Эффекты технологий'!$D$25:$D$240,"Значение")</f>
        <v>0</v>
      </c>
      <c r="U14" s="3" t="s">
        <v>540</v>
      </c>
      <c r="V14" s="7">
        <f>'Китай 2038'!V14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2038'!B15+'Китай 2038'!D15+('Китай 2038'!C15+'Китай 2038'!F15+'Китай 2038'!G15)+(0.35*LN(1+0.6*('Ход 2038'!B21*(1+'Эффекты технологий'!V$12)))*POWER(MAX(0,1-'Китай 2038'!I15/10),0.7))))</f>
        <v>10</v>
      </c>
      <c r="C15" s="3">
        <f>MIN(1,(MIN(1,'Китай 2038'!C15+'Китай 2038'!F15+(0.08*LN(1+0.5*('Ход 2038'!C21*(1+'Эффекты технологий'!V$12)))*MAX(0,1-('Китай 2038'!C15+'Китай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технологий'!$W$25:$W$240,'Эффекты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2038'!L15+'Китай 2038'!N15+('Китай 2038'!M15+'Китай 2038'!P15+'Китай 2038'!Q15)))</f>
        <v>10</v>
      </c>
      <c r="M15" s="3">
        <f>MIN(1,(MIN(1,'Китай 2038'!M15+'Китай 2038'!P15+(0.1*LN(1+0.5*('Ход 2038'!H17*(1+'Эффекты технологий'!V$10)))*POWER(MAX(0,1-'Китай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технологий'!$W$25:$W$240,'Эффекты технологий'!$C$25:$C$240,$K15,'Эффекты технологий'!$D$25:$D$240,"Значение")</f>
        <v>0</v>
      </c>
      <c r="U15" s="3" t="s">
        <v>542</v>
      </c>
      <c r="V15" s="7">
        <f>'Китай 2038'!V15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2038'!B16+'Китай 2038'!D16+('Китай 2038'!C16+'Китай 2038'!F16+'Китай 2038'!G16)+(0.35*LN(1+0.6*('Ход 2038'!B22*(1+'Эффекты технологий'!V$12)))*POWER(MAX(0,1-'Китай 2038'!I16/10),0.7))))</f>
        <v>10</v>
      </c>
      <c r="C16" s="3">
        <f>MIN(1,(MIN(1,'Китай 2038'!C16+'Китай 2038'!F16+(0.08*LN(1+0.5*('Ход 2038'!C22*(1+'Эффекты технологий'!V$12)))*MAX(0,1-('Китай 2038'!C16+'Китай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технологий'!$W$25:$W$240,'Эффекты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2038'!L16+'Китай 2038'!N16+('Китай 2038'!M16+'Китай 2038'!P16+'Китай 2038'!Q16)))</f>
        <v>10</v>
      </c>
      <c r="M16" s="3">
        <f>MIN(1,(MIN(1,'Китай 2038'!M16+'Китай 2038'!P16+(0.1*LN(1+0.5*('Ход 2038'!H18*(1+'Эффекты технологий'!V$10)))*POWER(MAX(0,1-'Китай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технологий'!$W$25:$W$240,'Эффекты технологий'!$C$25:$C$240,$K16,'Эффекты технологий'!$D$25:$D$240,"Значение")</f>
        <v>0</v>
      </c>
      <c r="U16" s="3" t="s">
        <v>544</v>
      </c>
      <c r="V16" s="7">
        <f>'Китай 2038'!V16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2038'!B17+'Китай 2038'!D17+('Китай 2038'!C17+'Китай 2038'!F17+'Китай 2038'!G17)+(0.35*LN(1+0.6*('Ход 2038'!B23*(1+'Эффекты технологий'!V$12)))*POWER(MAX(0,1-'Китай 2038'!I17/10),0.7))))</f>
        <v>10</v>
      </c>
      <c r="C17" s="3">
        <f>MIN(1,(MIN(1,'Китай 2038'!C17+'Китай 2038'!F17+(0.08*LN(1+0.5*('Ход 2038'!C23*(1+'Эффекты технологий'!V$12)))*MAX(0,1-('Китай 2038'!C17+'Китай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технологий'!$W$25:$W$240,'Эффекты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2038'!L17+'Китай 2038'!N17+('Китай 2038'!M17+'Китай 2038'!P17+'Китай 2038'!Q17)))</f>
        <v>10</v>
      </c>
      <c r="M17" s="3">
        <f>MIN(1,(MIN(1,'Китай 2038'!M17+'Китай 2038'!P17+(0.1*LN(1+0.5*('Ход 2038'!H19*(1+'Эффекты технологий'!V$10)))*POWER(MAX(0,1-'Китай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технологий'!$W$25:$W$240,'Эффекты технологий'!$C$25:$C$240,$K17,'Эффекты технологий'!$D$25:$D$240,"Значение")</f>
        <v>0</v>
      </c>
      <c r="U17" s="3" t="s">
        <v>546</v>
      </c>
      <c r="V17" s="7">
        <f>'Китай 2038'!V17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2038'!L18+'Китай 2038'!N18+('Китай 2038'!M18+'Китай 2038'!P18+'Китай 2038'!Q18)))</f>
        <v>10</v>
      </c>
      <c r="M18" s="3">
        <f>MIN(1,(MIN(1,'Китай 2038'!M18+'Китай 2038'!P18+(0.1*LN(1+0.5*('Ход 2038'!H20*(1+'Эффекты технологий'!V$10)))*POWER(MAX(0,1-'Китай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технологий'!$W$25:$W$240,'Эффекты технологий'!$C$25:$C$240,$K18,'Эффекты технологий'!$D$25:$D$240,"Значение")</f>
        <v>0</v>
      </c>
      <c r="U18" s="3" t="s">
        <v>548</v>
      </c>
      <c r="V18" s="7">
        <f>'Китай 2038'!V18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2038'!B19+'Китай 2038'!D19+('Китай 2038'!C19+'Китай 2038'!F19+'Китай 2038'!G19)+(0.35*LN(1+0.6*'Ход 2038'!B25)*POWER(MAX(0,1-'Китай 2038'!I19/10),0.7))))</f>
        <v>10</v>
      </c>
      <c r="C19" s="3">
        <f>MIN(1,(MIN(1,'Китай 2038'!C19+'Китай 2038'!F19+(0.08*LN(1+0.5*'Ход 2038'!C25)*MAX(0,1-('Китай 2038'!C19+'Китай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технологий'!$W$25:$W$240,'Эффекты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2038'!V19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2038'!B20+'Китай 2038'!D20+('Китай 2038'!C20+'Китай 2038'!F20+'Китай 2038'!G20)+(0.35*LN(1+0.6*'Ход 2038'!B26)*POWER(MAX(0,1-'Китай 2038'!I20/10),0.7))))</f>
        <v>10</v>
      </c>
      <c r="C20" s="3">
        <f>MIN(1,(MIN(1,'Китай 2038'!C20+'Китай 2038'!F20+(0.08*LN(1+0.5*'Ход 2038'!C26)*MAX(0,1-('Китай 2038'!C20+'Китай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технологий'!$W$25:$W$240,'Эффекты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2038'!V20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2038'!B21+'Китай 2038'!D21+('Китай 2038'!C21+'Китай 2038'!F21+'Китай 2038'!G21)+(0.35*LN(1+0.6*'Ход 2038'!B27)*POWER(MAX(0,1-'Китай 2038'!I21/10),0.7))))</f>
        <v>10</v>
      </c>
      <c r="C21" s="3">
        <f>MIN(1,(MIN(1,'Китай 2038'!C21+'Китай 2038'!F21+(0.08*LN(1+0.5*'Ход 2038'!C27)*MAX(0,1-('Китай 2038'!C21+'Китай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технологий'!$W$25:$W$240,'Эффекты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2038'!V21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2038'!B22+'Китай 2038'!D22+('Китай 2038'!C22+'Китай 2038'!F22+'Китай 2038'!G22)+(0.35*LN(1+0.6*'Ход 2038'!B28)*POWER(MAX(0,1-'Китай 2038'!I22/10),0.7))))</f>
        <v>10</v>
      </c>
      <c r="C22" s="3">
        <f>MIN(1,(MIN(1,'Китай 2038'!C22+'Китай 2038'!F22+(0.08*LN(1+0.5*'Ход 2038'!C28)*MAX(0,1-('Китай 2038'!C22+'Китай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технологий'!$W$25:$W$240,'Эффекты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2038'!V22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2038'!B23+'Китай 2038'!D23+('Китай 2038'!C23+'Китай 2038'!F23+'Китай 2038'!G23)+(0.35*LN(1+0.6*'Ход 2038'!B29)*POWER(MAX(0,1-'Китай 2038'!I23/10),0.7))))</f>
        <v>10</v>
      </c>
      <c r="C23" s="3">
        <f>MIN(1,(MIN(1,'Китай 2038'!C23+'Китай 2038'!F23+(0.08*LN(1+0.5*'Ход 2038'!C29)*MAX(0,1-('Китай 2038'!C23+'Китай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технологий'!$W$25:$W$240,'Эффекты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2038'!V23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2038'!V24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2038'!B25+'Китай 2038'!D25+('Китай 2038'!C25+'Китай 2038'!F25+'Китай 2038'!G25)+(0.35*LN(1+0.6*'Ход 2038'!B31)*POWER(MAX(0,1-'Китай 2038'!I25/10),0.7))))</f>
        <v>10</v>
      </c>
      <c r="C25" s="3">
        <f>MIN(1,(MIN(1,'Китай 2038'!C25+'Китай 2038'!F25+(0.08*LN(1+0.5*'Ход 2038'!C31)*MAX(0,1-('Китай 2038'!C25+'Китай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технологий'!$W$25:$W$240,'Эффекты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2038'!V25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2038'!B26+'Китай 2038'!D26+('Китай 2038'!C26+'Китай 2038'!F26+'Китай 2038'!G26)+(0.35*LN(1+0.6*'Ход 2038'!B32)*POWER(MAX(0,1-'Китай 2038'!I26/10),0.7))))</f>
        <v>10</v>
      </c>
      <c r="C26" s="3">
        <f>MIN(1,(MIN(1,'Китай 2038'!C26+'Китай 2038'!F26+(0.08*LN(1+0.5*'Ход 2038'!C32)*MAX(0,1-('Китай 2038'!C26+'Китай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технологий'!$W$25:$W$240,'Эффекты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2038'!V26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2038'!B27+'Китай 2038'!D27+('Китай 2038'!C27+'Китай 2038'!F27+'Китай 2038'!G27)+(0.35*LN(1+0.6*'Ход 2038'!B33)*POWER(MAX(0,1-'Китай 2038'!I27/10),0.7))))</f>
        <v>10</v>
      </c>
      <c r="C27" s="3">
        <f>MIN(1,(MIN(1,'Китай 2038'!C27+'Китай 2038'!F27+(0.08*LN(1+0.5*'Ход 2038'!C33)*MAX(0,1-('Китай 2038'!C27+'Китай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технологий'!$W$25:$W$240,'Эффекты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2038'!B28+'Китай 2038'!D28+('Китай 2038'!C28+'Китай 2038'!F28+'Китай 2038'!G28)+(0.35*LN(1+0.6*'Ход 2038'!B34)*POWER(MAX(0,1-'Китай 2038'!I28/10),0.7))))</f>
        <v>10</v>
      </c>
      <c r="C28" s="3">
        <f>MIN(1,(MIN(1,'Китай 2038'!C28+'Китай 2038'!F28+(0.08*LN(1+0.5*'Ход 2038'!C34)*MAX(0,1-('Китай 2038'!C28+'Китай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технологий'!$W$25:$W$240,'Эффекты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2038'!B29+'Китай 2038'!D29+('Китай 2038'!C29+'Китай 2038'!F29+'Китай 2038'!G29)+(0.35*LN(1+0.6*'Ход 2038'!B35)*POWER(MAX(0,1-'Китай 2038'!I29/10),0.7))))</f>
        <v>10</v>
      </c>
      <c r="C29" s="3">
        <f>MIN(1,(MIN(1,'Китай 2038'!C29+'Китай 2038'!F29+(0.08*LN(1+0.5*'Ход 2038'!C35)*MAX(0,1-('Китай 2038'!C29+'Китай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технологий'!$W$25:$W$240,'Эффекты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2038'!B30+'Китай 2038'!D30+('Китай 2038'!C30+'Китай 2038'!F30+'Китай 2038'!G30)+(0.35*LN(1+0.6*'Ход 2038'!B36)*POWER(MAX(0,1-'Китай 2038'!I30/10),0.7))))</f>
        <v>10</v>
      </c>
      <c r="C30" s="3">
        <f>MIN(1,(MIN(1,'Китай 2038'!C30+'Китай 2038'!F30+(0.08*LN(1+0.5*'Ход 2038'!C36)*MAX(0,1-('Китай 2038'!C30+'Китай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технологий'!$W$25:$W$240,'Эффекты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2038'!B31+'Китай 2038'!D31+('Китай 2038'!C31+'Китай 2038'!F31+'Китай 2038'!G31)+(0.35*LN(1+0.6*'Ход 2038'!B37)*POWER(MAX(0,1-'Китай 2038'!I31/10),0.7))))</f>
        <v>10</v>
      </c>
      <c r="C31" s="3">
        <f>MIN(1,(MIN(1,'Китай 2038'!C31+'Китай 2038'!F31+(0.08*LN(1+0.5*'Ход 2038'!C37)*MAX(0,1-('Китай 2038'!C31+'Китай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технологий'!$W$25:$W$240,'Эффекты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2038'!B32+'Китай 2038'!D32+('Китай 2038'!C32+'Китай 2038'!F32+'Китай 2038'!G32)+(0.35*LN(1+0.6*'Ход 2038'!B38)*POWER(MAX(0,1-'Китай 2038'!I32/10),0.7))))</f>
        <v>10</v>
      </c>
      <c r="C32" s="3">
        <f>MIN(1,(MIN(1,'Китай 2038'!C32+'Китай 2038'!F32+(0.08*LN(1+0.5*'Ход 2038'!C38)*MAX(0,1-('Китай 2038'!C32+'Китай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технологий'!$W$25:$W$240,'Эффекты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2038'!B34+'Китай 2038'!D34+('Китай 2038'!C34+'Китай 2038'!F34+'Китай 2038'!G34)+(0.35*LN(1+0.6*'Ход 2038'!B40)*POWER(MAX(0,1-'Китай 2038'!I34/10),0.7))))</f>
        <v>10</v>
      </c>
      <c r="C34" s="3">
        <f>MIN(1,(MIN(1,'Китай 2038'!C34+'Китай 2038'!F34+(0.08*LN(1+0.5*'Ход 2038'!C40)*MAX(0,1-('Китай 2038'!C34+'Китай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технологий'!$W$25:$W$240,'Эффекты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2038'!B35+'Китай 2038'!D35+('Китай 2038'!C35+'Китай 2038'!F35+'Китай 2038'!G35)+(0.35*LN(1+0.6*'Ход 2038'!B41)*POWER(MAX(0,1-'Китай 2038'!I35/10),0.7))))</f>
        <v>10</v>
      </c>
      <c r="C35" s="3">
        <f>MIN(1,(MIN(1,'Китай 2038'!C35+'Китай 2038'!F35+(0.08*LN(1+0.5*'Ход 2038'!C41)*MAX(0,1-('Китай 2038'!C35+'Китай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технологий'!$W$25:$W$240,'Эффекты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2038'!B36+'Китай 2038'!D36+('Китай 2038'!C36+'Китай 2038'!F36+'Китай 2038'!G36)+(0.35*LN(1+0.6*'Ход 2038'!B42)*POWER(MAX(0,1-'Китай 2038'!I36/10),0.7))))</f>
        <v>10</v>
      </c>
      <c r="C36" s="3">
        <f>MIN(1,(MIN(1,'Китай 2038'!C36+'Китай 2038'!F36+(0.08*LN(1+0.5*'Ход 2038'!C42)*MAX(0,1-('Китай 2038'!C36+'Китай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технологий'!$W$25:$W$240,'Эффекты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2038'!B37+'Китай 2038'!D37+('Китай 2038'!C37+'Китай 2038'!F37+'Китай 2038'!G37)+(0.35*LN(1+0.6*'Ход 2038'!B43)*POWER(MAX(0,1-'Китай 2038'!I37/10),0.7))))</f>
        <v>10</v>
      </c>
      <c r="C37" s="3">
        <f>MIN(1,(MIN(1,'Китай 2038'!C37+'Китай 2038'!F37+(0.08*LN(1+0.5*'Ход 2038'!C43)*MAX(0,1-('Китай 2038'!C37+'Китай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технологий'!$W$25:$W$240,'Эффекты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2038'!B38+'Китай 2038'!D38+('Китай 2038'!C38+'Китай 2038'!F38+'Китай 2038'!G38)+(0.35*LN(1+0.6*'Ход 2038'!B44)*POWER(MAX(0,1-'Китай 2038'!I38/10),0.7))))</f>
        <v>10</v>
      </c>
      <c r="C38" s="3">
        <f>MIN(1,(MIN(1,'Китай 2038'!C38+'Китай 2038'!F38+(0.08*LN(1+0.5*'Ход 2038'!C44)*MAX(0,1-('Китай 2038'!C38+'Китай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технологий'!$W$25:$W$240,'Эффекты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2038'!B39+'Китай 2038'!D39+('Китай 2038'!C39+'Китай 2038'!F39+'Китай 2038'!G39)+(0.35*LN(1+0.6*'Ход 2038'!B45)*POWER(MAX(0,1-'Китай 2038'!I39/10),0.7))))</f>
        <v>10</v>
      </c>
      <c r="C39" s="3">
        <f>MIN(1,(MIN(1,'Китай 2038'!C39+'Китай 2038'!F39+(0.08*LN(1+0.5*'Ход 2038'!C45)*MAX(0,1-('Китай 2038'!C39+'Китай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технологий'!$W$25:$W$240,'Эффекты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2038'!B40+'Китай 2038'!D40+('Китай 2038'!C40+'Китай 2038'!F40+'Китай 2038'!G40)+(0.35*LN(1+0.6*'Ход 2038'!B46)*POWER(MAX(0,1-'Китай 2038'!I40/10),0.7))))</f>
        <v>10</v>
      </c>
      <c r="C40" s="3">
        <f>MIN(1,(MIN(1,'Китай 2038'!C40+'Китай 2038'!F40+(0.08*LN(1+0.5*'Ход 2038'!C46)*MAX(0,1-('Китай 2038'!C40+'Китай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технологий'!$W$25:$W$240,'Эффекты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2038'!B41+'Китай 2038'!D41+('Китай 2038'!C41+'Китай 2038'!F41+'Китай 2038'!G41)+(0.35*LN(1+0.6*'Ход 2038'!B47)*POWER(MAX(0,1-'Китай 2038'!I41/10),0.7))))</f>
        <v>10</v>
      </c>
      <c r="C41" s="3">
        <f>MIN(1,(MIN(1,'Китай 2038'!C41+'Китай 2038'!F41+(0.08*LN(1+0.5*'Ход 2038'!C47)*MAX(0,1-('Китай 2038'!C41+'Китай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технологий'!$W$25:$W$240,'Эффекты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2038'!B42+'Китай 2038'!D42+('Китай 2038'!C42+'Китай 2038'!F42+'Китай 2038'!G42)+(0.35*LN(1+0.6*'Ход 2038'!B48)*POWER(MAX(0,1-'Китай 2038'!I42/10),0.7))))</f>
        <v>10</v>
      </c>
      <c r="C42" s="3">
        <f>MIN(1,(MIN(1,'Китай 2038'!C42+'Китай 2038'!F42+(0.08*LN(1+0.5*'Ход 2038'!C48)*MAX(0,1-('Китай 2038'!C42+'Китай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технологий'!$W$25:$W$240,'Эффекты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2038'!B44+'Китай 2038'!D44+('Китай 2038'!C44+'Китай 2038'!F44+'Китай 2038'!G44)+(0.35*LN(1+0.6*'Ход 2038'!B50)*POWER(MAX(0,1-'Китай 2038'!I44/10),0.7))))</f>
        <v>10</v>
      </c>
      <c r="C44" s="3">
        <f>MIN(1,(MIN(1,'Китай 2038'!C44+'Китай 2038'!F44+(0.08*LN(1+0.5*'Ход 2038'!C50)*MAX(0,1-('Китай 2038'!C44+'Китай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технологий'!$W$25:$W$240,'Эффекты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2038'!B45+'Китай 2038'!D45+('Китай 2038'!C45+'Китай 2038'!F45+'Китай 2038'!G45)+(0.35*LN(1+0.6*'Ход 2038'!B51)*POWER(MAX(0,1-'Китай 2038'!I45/10),0.7))))</f>
        <v>10</v>
      </c>
      <c r="C45" s="3">
        <f>MIN(1,(MIN(1,'Китай 2038'!C45+'Китай 2038'!F45+(0.08*LN(1+0.5*'Ход 2038'!C51)*MAX(0,1-('Китай 2038'!C45+'Китай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технологий'!$W$25:$W$240,'Эффекты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2038'!B46+'Китай 2038'!D46+('Китай 2038'!C46+'Китай 2038'!F46+'Китай 2038'!G46)+(0.35*LN(1+0.6*'Ход 2038'!B52)*POWER(MAX(0,1-'Китай 2038'!I46/10),0.7))))</f>
        <v>10</v>
      </c>
      <c r="C46" s="3">
        <f>MIN(1,(MIN(1,'Китай 2038'!C46+'Китай 2038'!F46+(0.08*LN(1+0.5*'Ход 2038'!C52)*MAX(0,1-('Китай 2038'!C46+'Китай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технологий'!$W$25:$W$240,'Эффекты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2038'!B47+'Китай 2038'!D47+('Китай 2038'!C47+'Китай 2038'!F47+'Китай 2038'!G47)+(0.35*LN(1+0.6*'Ход 2038'!B53)*POWER(MAX(0,1-'Китай 2038'!I47/10),0.7))))</f>
        <v>6.5920979995048246</v>
      </c>
      <c r="C47" s="3">
        <f>MIN(1,(MIN(1,'Китай 2038'!C47+'Китай 2038'!F47+(0.08*LN(1+0.5*'Ход 2038'!C53)*MAX(0,1-('Китай 2038'!C47+'Китай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6.5920979995048246</v>
      </c>
      <c r="J47" s="10">
        <f>SUMIFS('Эффекты технологий'!$W$25:$W$240,'Эффекты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2038'!B48+'Китай 2038'!D48+('Китай 2038'!C48+'Китай 2038'!F48+'Китай 2038'!G48)+(0.35*LN(1+0.6*'Ход 2038'!B54)*POWER(MAX(0,1-'Китай 2038'!I48/10),0.7))))</f>
        <v>9.1500000000000092</v>
      </c>
      <c r="C48" s="3">
        <f>MIN(1,(MIN(1,'Китай 2038'!C48+'Китай 2038'!F48+(0.08*LN(1+0.5*'Ход 2038'!C54)*MAX(0,1-('Китай 2038'!C48+'Китай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9.1500000000000092</v>
      </c>
      <c r="J48" s="10">
        <f>SUMIFS('Эффекты технологий'!$W$25:$W$240,'Эффекты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2038'!B49+'Китай 2038'!D49+('Китай 2038'!C49+'Китай 2038'!F49+'Китай 2038'!G49)+(0.35*LN(1+0.6*'Ход 2038'!B55)*POWER(MAX(0,1-'Китай 2038'!I49/10),0.7))))</f>
        <v>10</v>
      </c>
      <c r="C49" s="3">
        <f>MIN(1,(MIN(1,'Китай 2038'!C49+'Китай 2038'!F49+(0.08*LN(1+0.5*'Ход 2038'!C55)*MAX(0,1-('Китай 2038'!C49+'Китай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технологий'!$W$25:$W$240,'Эффекты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2038'!B50+'Китай 2038'!D50+('Китай 2038'!C50+'Китай 2038'!F50+'Китай 2038'!G50)+(0.35*LN(1+0.6*'Ход 2038'!B56)*POWER(MAX(0,1-'Китай 2038'!I50/10),0.7))))</f>
        <v>10</v>
      </c>
      <c r="C50" s="3">
        <f>MIN(1,(MIN(1,'Китай 2038'!C50+'Китай 2038'!F50+(0.08*LN(1+0.5*'Ход 2038'!C56)*MAX(0,1-('Китай 2038'!C50+'Китай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технологий'!$W$25:$W$240,'Эффекты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2038'!B51+'Китай 2038'!D51+('Китай 2038'!C51+'Китай 2038'!F51+'Китай 2038'!G51)+(0.35*LN(1+0.6*'Ход 2038'!B57)*POWER(MAX(0,1-'Китай 2038'!I51/10),0.7))))</f>
        <v>10</v>
      </c>
      <c r="C51" s="3">
        <f>MIN(1,(MIN(1,'Китай 2038'!C51+'Китай 2038'!F51+(0.08*LN(1+0.5*'Ход 2038'!C57)*MAX(0,1-('Китай 2038'!C51+'Китай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технологий'!$W$25:$W$240,'Эффекты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2038'!B53+'Китай 2038'!D53+('Китай 2038'!C53+'Китай 2038'!F53+'Китай 2038'!G53)+(0.35*LN(1+0.6*'Ход 2038'!B59)*POWER(MAX(0,1-'Китай 2038'!I53/10),0.7))))</f>
        <v>10</v>
      </c>
      <c r="C53" s="3">
        <f>MIN(1,(MIN(1,'Китай 2038'!C53+'Китай 2038'!F53+(0.08*LN(1+0.5*'Ход 2038'!C59)*MAX(0,1-('Китай 2038'!C53+'Китай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технологий'!$W$25:$W$240,'Эффекты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2038'!B54+'Китай 2038'!D54+('Китай 2038'!C54+'Китай 2038'!F54+'Китай 2038'!G54)+(0.35*LN(1+0.6*'Ход 2038'!B60)*POWER(MAX(0,1-'Китай 2038'!I54/10),0.7))))</f>
        <v>10</v>
      </c>
      <c r="C54" s="3">
        <f>MIN(1,(MIN(1,'Китай 2038'!C54+'Китай 2038'!F54+(0.08*LN(1+0.5*'Ход 2038'!C60)*MAX(0,1-('Китай 2038'!C54+'Китай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технологий'!$W$25:$W$240,'Эффекты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2038'!B55+'Китай 2038'!D55+('Китай 2038'!C55+'Китай 2038'!F55+'Китай 2038'!G55)+(0.35*LN(1+0.6*'Ход 2038'!B61)*POWER(MAX(0,1-'Китай 2038'!I55/10),0.7))))</f>
        <v>10</v>
      </c>
      <c r="C55" s="3">
        <f>MIN(1,(MIN(1,'Китай 2038'!C55+'Китай 2038'!F55+(0.08*LN(1+0.5*'Ход 2038'!C61)*MAX(0,1-('Китай 2038'!C55+'Китай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технологий'!$W$25:$W$240,'Эффекты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361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2039'!U6</f>
        <v>99.984397441543109</v>
      </c>
      <c r="C6" s="3"/>
      <c r="D6" s="3"/>
      <c r="E6" s="3" t="s">
        <v>321</v>
      </c>
      <c r="F6" s="3">
        <f>'Китай 2039'!K6</f>
        <v>99.690498633033187</v>
      </c>
      <c r="G6" s="3"/>
      <c r="H6" s="3"/>
      <c r="I6" s="3" t="s">
        <v>321</v>
      </c>
      <c r="J6" s="3">
        <f>'Китай 2039'!N6</f>
        <v>100</v>
      </c>
      <c r="K6" s="3"/>
      <c r="L6" s="3"/>
      <c r="M6" s="3" t="s">
        <v>321</v>
      </c>
      <c r="N6" s="3">
        <f>'Китай 2039'!Q6</f>
        <v>85.627629461909436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99.984397441543109</v>
      </c>
      <c r="C8" s="3" t="str">
        <f>IF(B8&lt;0,"ПРЕВЫШЕНИЕ","OK")</f>
        <v>OK</v>
      </c>
      <c r="D8" s="3"/>
      <c r="E8" s="3" t="s">
        <v>323</v>
      </c>
      <c r="F8" s="3">
        <f>F6-F7</f>
        <v>99.690498633033187</v>
      </c>
      <c r="G8" s="3" t="str">
        <f>IF(F8&lt;0,"ПРЕВЫШЕНИЕ","OK")</f>
        <v>OK</v>
      </c>
      <c r="H8" s="3"/>
      <c r="I8" s="3" t="s">
        <v>323</v>
      </c>
      <c r="J8" s="3">
        <f>J6-J7</f>
        <v>100</v>
      </c>
      <c r="K8" s="3" t="str">
        <f>IF(J8&lt;0,"ПРЕВЫШЕНИЕ","OK")</f>
        <v>OK</v>
      </c>
      <c r="L8" s="3"/>
      <c r="M8" s="3" t="s">
        <v>323</v>
      </c>
      <c r="N8" s="3">
        <f>N6-N7</f>
        <v>85.627629461909436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2039'!V11</f>
        <v>3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2039'!V12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2039'!V13</f>
        <v>-0.4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2039'!V14</f>
        <v>0.5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2039'!V15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2039'!V16</f>
        <v>1.4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2039'!V17</f>
        <v>-0.8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2039'!V18</f>
        <v>0.8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2039'!V19</f>
        <v>2.1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2039'!V20</f>
        <v>2.8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2039'!V21</f>
        <v>3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2039'!V22</f>
        <v>0.3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технологий'!W$16</f>
        <v>0</v>
      </c>
      <c r="H25" s="11">
        <f>'Эффекты технологий'!W$17</f>
        <v>0</v>
      </c>
      <c r="I25" s="11">
        <f>'Эффекты технологий'!W$18</f>
        <v>0</v>
      </c>
      <c r="J25" s="12"/>
      <c r="K25" s="3"/>
      <c r="L25" s="3" t="s">
        <v>558</v>
      </c>
      <c r="M25" s="3">
        <f>'Китай 2039'!V23</f>
        <v>3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2039'!V24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2039'!V25</f>
        <v>2.8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2039'!V26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IF(G30="","",VLOOKUP(G30,Технологии!$A$11:$BF$50,57,FALSE))</f>
        <v/>
      </c>
      <c r="L30" s="3"/>
      <c r="M30" s="3"/>
      <c r="N30" s="12" t="s">
        <v>340</v>
      </c>
      <c r="O30" s="11">
        <f>'Эффекты технологий'!W$13</f>
        <v>0</v>
      </c>
      <c r="P30" s="11">
        <f>'Эффекты технологий'!W$14</f>
        <v>0</v>
      </c>
      <c r="Q30" s="11">
        <f>'Эффекты технологий'!W$15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579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99.704707385379137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100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85.672395474608081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99.986660678288729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2039'!B8+'Китай 2039'!D8+('Китай 2039'!C8+'Китай 2039'!F8+'Китай 2039'!G8)+(0.35*LN(1+0.6*('Ход 2039'!B14*(1+'Эффекты технологий'!W$12)))*POWER(MAX(0,1-'Китай 2039'!I8/10),0.7))))</f>
        <v>10</v>
      </c>
      <c r="C8" s="3">
        <f>MIN(1,(MIN(1,'Китай 2039'!C8+'Китай 2039'!F8+(0.08*LN(1+0.5*('Ход 2039'!C14*(1+'Эффекты технологий'!W$12)))*MAX(0,1-('Китай 2039'!C8+'Китай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10</v>
      </c>
      <c r="J8" s="10">
        <f>SUMIFS('Эффекты технологий'!$X$25:$X$240,'Эффекты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2039'!B9+'Китай 2039'!D9+('Китай 2039'!C9+'Китай 2039'!F9+'Китай 2039'!G9)+(0.35*LN(1+0.6*('Ход 2039'!B15*(1+'Эффекты технологий'!W$12)))*POWER(MAX(0,1-'Китай 2039'!I9/10),0.7))))</f>
        <v>10</v>
      </c>
      <c r="C9" s="3">
        <f>MIN(1,(MIN(1,'Китай 2039'!C9+'Китай 2039'!F9+(0.08*LN(1+0.5*('Ход 2039'!C15*(1+'Эффекты технологий'!W$12)))*MAX(0,1-('Китай 2039'!C9+'Китай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технологий'!$X$25:$X$240,'Эффекты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2039'!B10+'Китай 2039'!D10+('Китай 2039'!C10+'Китай 2039'!F10+'Китай 2039'!G10)+(0.35*LN(1+0.6*('Ход 2039'!B16*(1+'Эффекты технологий'!W$12)))*POWER(MAX(0,1-'Китай 2039'!I10/10),0.7))))</f>
        <v>10</v>
      </c>
      <c r="C10" s="3">
        <f>MIN(1,(MIN(1,'Китай 2039'!C10+'Китай 2039'!F10+(0.08*LN(1+0.5*('Ход 2039'!C16*(1+'Эффекты технологий'!W$12)))*MAX(0,1-('Китай 2039'!C10+'Китай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технологий'!$X$25:$X$240,'Эффекты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2039'!B11+'Китай 2039'!D11+('Китай 2039'!C11+'Китай 2039'!F11+'Китай 2039'!G11)+(0.35*LN(1+0.6*('Ход 2039'!B17*(1+'Эффекты технологий'!W$12)))*POWER(MAX(0,1-'Китай 2039'!I11/10),0.7))))</f>
        <v>10</v>
      </c>
      <c r="C11" s="3">
        <f>MIN(1,(MIN(1,'Китай 2039'!C11+'Китай 2039'!F11+(0.08*LN(1+0.5*('Ход 2039'!C17*(1+'Эффекты технологий'!W$12)))*MAX(0,1-('Китай 2039'!C11+'Китай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10</v>
      </c>
      <c r="J11" s="10">
        <f>SUMIFS('Эффекты технологий'!$X$25:$X$240,'Эффекты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2039'!L11+'Китай 2039'!N11+('Китай 2039'!M11+'Китай 2039'!P11+'Китай 2039'!Q11)))</f>
        <v>10</v>
      </c>
      <c r="M11" s="3">
        <f>MIN(1,(MIN(1,'Китай 2039'!M11+'Китай 2039'!P11+(0.1*LN(1+0.5*('Ход 2039'!H13*(1+'Эффекты технологий'!W$10)))*POWER(MAX(0,1-'Китай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технологий'!$X$25:$X$240,'Эффекты технологий'!$C$25:$C$240,$K11,'Эффекты технологий'!$D$25:$D$240,"Значение")</f>
        <v>0</v>
      </c>
      <c r="U11" s="3" t="s">
        <v>534</v>
      </c>
      <c r="V11" s="7">
        <f>'Китай 2039'!V11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2039'!B12+'Китай 2039'!D12+('Китай 2039'!C12+'Китай 2039'!F12+'Китай 2039'!G12)+(0.35*LN(1+0.6*('Ход 2039'!B18*(1+'Эффекты технологий'!W$12)))*POWER(MAX(0,1-'Китай 2039'!I12/10),0.7))))</f>
        <v>9.7000000000000099</v>
      </c>
      <c r="C12" s="3">
        <f>MIN(1,(MIN(1,'Китай 2039'!C12+'Китай 2039'!F12+(0.08*LN(1+0.5*('Ход 2039'!C18*(1+'Эффекты технологий'!W$12)))*MAX(0,1-('Китай 2039'!C12+'Китай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9.7000000000000099</v>
      </c>
      <c r="J12" s="10">
        <f>SUMIFS('Эффекты технологий'!$X$25:$X$240,'Эффекты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2039'!L12+'Китай 2039'!N12+('Китай 2039'!M12+'Китай 2039'!P12+'Китай 2039'!Q12)))</f>
        <v>10</v>
      </c>
      <c r="M12" s="3">
        <f>MIN(1,(MIN(1,'Китай 2039'!M12+'Китай 2039'!P12+(0.1*LN(1+0.5*('Ход 2039'!H14*(1+'Эффекты технологий'!W$10)))*POWER(MAX(0,1-'Китай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технологий'!$X$25:$X$240,'Эффекты технологий'!$C$25:$C$240,$K12,'Эффекты технологий'!$D$25:$D$240,"Значение")</f>
        <v>0</v>
      </c>
      <c r="U12" s="3" t="s">
        <v>536</v>
      </c>
      <c r="V12" s="7">
        <f>'Китай 2039'!V12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2039'!B13+'Китай 2039'!D13+('Китай 2039'!C13+'Китай 2039'!F13+'Китай 2039'!G13)+(0.35*LN(1+0.6*('Ход 2039'!B19*(1+'Эффекты технологий'!W$12)))*POWER(MAX(0,1-'Китай 2039'!I13/10),0.7))))</f>
        <v>10</v>
      </c>
      <c r="C13" s="3">
        <f>MIN(1,(MIN(1,'Китай 2039'!C13+'Китай 2039'!F13+(0.08*LN(1+0.5*('Ход 2039'!C19*(1+'Эффекты технологий'!W$12)))*MAX(0,1-('Китай 2039'!C13+'Китай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технологий'!$X$25:$X$240,'Эффекты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2039'!L13+'Китай 2039'!N13+('Китай 2039'!M13+'Китай 2039'!P13+'Китай 2039'!Q13)))</f>
        <v>10</v>
      </c>
      <c r="M13" s="3">
        <f>MIN(1,(MIN(1,'Китай 2039'!M13+'Китай 2039'!P13+(0.1*LN(1+0.5*('Ход 2039'!H15*(1+'Эффекты технологий'!W$10)))*POWER(MAX(0,1-'Китай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технологий'!$X$25:$X$240,'Эффекты технологий'!$C$25:$C$240,$K13,'Эффекты технологий'!$D$25:$D$240,"Значение")</f>
        <v>0</v>
      </c>
      <c r="U13" s="3" t="s">
        <v>538</v>
      </c>
      <c r="V13" s="7">
        <f>'Китай 2039'!V13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2039'!B14+'Китай 2039'!D14+('Китай 2039'!C14+'Китай 2039'!F14+'Китай 2039'!G14)+(0.35*LN(1+0.6*('Ход 2039'!B20*(1+'Эффекты технологий'!W$12)))*POWER(MAX(0,1-'Китай 2039'!I14/10),0.7))))</f>
        <v>10</v>
      </c>
      <c r="C14" s="3">
        <f>MIN(1,(MIN(1,'Китай 2039'!C14+'Китай 2039'!F14+(0.08*LN(1+0.5*('Ход 2039'!C20*(1+'Эффекты технологий'!W$12)))*MAX(0,1-('Китай 2039'!C14+'Китай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технологий'!$X$25:$X$240,'Эффекты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2039'!L14+'Китай 2039'!N14+('Китай 2039'!M14+'Китай 2039'!P14+'Китай 2039'!Q14)))</f>
        <v>10</v>
      </c>
      <c r="M14" s="3">
        <f>MIN(1,(MIN(1,'Китай 2039'!M14+'Китай 2039'!P14+(0.1*LN(1+0.5*('Ход 2039'!H16*(1+'Эффекты технологий'!W$10)))*POWER(MAX(0,1-'Китай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технологий'!$X$25:$X$240,'Эффекты технологий'!$C$25:$C$240,$K14,'Эффекты технологий'!$D$25:$D$240,"Значение")</f>
        <v>0</v>
      </c>
      <c r="U14" s="3" t="s">
        <v>540</v>
      </c>
      <c r="V14" s="7">
        <f>'Китай 2039'!V14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2039'!B15+'Китай 2039'!D15+('Китай 2039'!C15+'Китай 2039'!F15+'Китай 2039'!G15)+(0.35*LN(1+0.6*('Ход 2039'!B21*(1+'Эффекты технологий'!W$12)))*POWER(MAX(0,1-'Китай 2039'!I15/10),0.7))))</f>
        <v>10</v>
      </c>
      <c r="C15" s="3">
        <f>MIN(1,(MIN(1,'Китай 2039'!C15+'Китай 2039'!F15+(0.08*LN(1+0.5*('Ход 2039'!C21*(1+'Эффекты технологий'!W$12)))*MAX(0,1-('Китай 2039'!C15+'Китай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технологий'!$X$25:$X$240,'Эффекты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2039'!L15+'Китай 2039'!N15+('Китай 2039'!M15+'Китай 2039'!P15+'Китай 2039'!Q15)))</f>
        <v>10</v>
      </c>
      <c r="M15" s="3">
        <f>MIN(1,(MIN(1,'Китай 2039'!M15+'Китай 2039'!P15+(0.1*LN(1+0.5*('Ход 2039'!H17*(1+'Эффекты технологий'!W$10)))*POWER(MAX(0,1-'Китай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технологий'!$X$25:$X$240,'Эффекты технологий'!$C$25:$C$240,$K15,'Эффекты технологий'!$D$25:$D$240,"Значение")</f>
        <v>0</v>
      </c>
      <c r="U15" s="3" t="s">
        <v>542</v>
      </c>
      <c r="V15" s="7">
        <f>'Китай 2039'!V15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2039'!B16+'Китай 2039'!D16+('Китай 2039'!C16+'Китай 2039'!F16+'Китай 2039'!G16)+(0.35*LN(1+0.6*('Ход 2039'!B22*(1+'Эффекты технологий'!W$12)))*POWER(MAX(0,1-'Китай 2039'!I16/10),0.7))))</f>
        <v>10</v>
      </c>
      <c r="C16" s="3">
        <f>MIN(1,(MIN(1,'Китай 2039'!C16+'Китай 2039'!F16+(0.08*LN(1+0.5*('Ход 2039'!C22*(1+'Эффекты технологий'!W$12)))*MAX(0,1-('Китай 2039'!C16+'Китай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технологий'!$X$25:$X$240,'Эффекты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2039'!L16+'Китай 2039'!N16+('Китай 2039'!M16+'Китай 2039'!P16+'Китай 2039'!Q16)))</f>
        <v>10</v>
      </c>
      <c r="M16" s="3">
        <f>MIN(1,(MIN(1,'Китай 2039'!M16+'Китай 2039'!P16+(0.1*LN(1+0.5*('Ход 2039'!H18*(1+'Эффекты технологий'!W$10)))*POWER(MAX(0,1-'Китай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технологий'!$X$25:$X$240,'Эффекты технологий'!$C$25:$C$240,$K16,'Эффекты технологий'!$D$25:$D$240,"Значение")</f>
        <v>0</v>
      </c>
      <c r="U16" s="3" t="s">
        <v>544</v>
      </c>
      <c r="V16" s="7">
        <f>'Китай 2039'!V16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2039'!B17+'Китай 2039'!D17+('Китай 2039'!C17+'Китай 2039'!F17+'Китай 2039'!G17)+(0.35*LN(1+0.6*('Ход 2039'!B23*(1+'Эффекты технологий'!W$12)))*POWER(MAX(0,1-'Китай 2039'!I17/10),0.7))))</f>
        <v>10</v>
      </c>
      <c r="C17" s="3">
        <f>MIN(1,(MIN(1,'Китай 2039'!C17+'Китай 2039'!F17+(0.08*LN(1+0.5*('Ход 2039'!C23*(1+'Эффекты технологий'!W$12)))*MAX(0,1-('Китай 2039'!C17+'Китай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технологий'!$X$25:$X$240,'Эффекты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2039'!L17+'Китай 2039'!N17+('Китай 2039'!M17+'Китай 2039'!P17+'Китай 2039'!Q17)))</f>
        <v>10</v>
      </c>
      <c r="M17" s="3">
        <f>MIN(1,(MIN(1,'Китай 2039'!M17+'Китай 2039'!P17+(0.1*LN(1+0.5*('Ход 2039'!H19*(1+'Эффекты технологий'!W$10)))*POWER(MAX(0,1-'Китай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технологий'!$X$25:$X$240,'Эффекты технологий'!$C$25:$C$240,$K17,'Эффекты технологий'!$D$25:$D$240,"Значение")</f>
        <v>0</v>
      </c>
      <c r="U17" s="3" t="s">
        <v>546</v>
      </c>
      <c r="V17" s="7">
        <f>'Китай 2039'!V17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2039'!L18+'Китай 2039'!N18+('Китай 2039'!M18+'Китай 2039'!P18+'Китай 2039'!Q18)))</f>
        <v>10</v>
      </c>
      <c r="M18" s="3">
        <f>MIN(1,(MIN(1,'Китай 2039'!M18+'Китай 2039'!P18+(0.1*LN(1+0.5*('Ход 2039'!H20*(1+'Эффекты технологий'!W$10)))*POWER(MAX(0,1-'Китай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технологий'!$X$25:$X$240,'Эффекты технологий'!$C$25:$C$240,$K18,'Эффекты технологий'!$D$25:$D$240,"Значение")</f>
        <v>0</v>
      </c>
      <c r="U18" s="3" t="s">
        <v>548</v>
      </c>
      <c r="V18" s="7">
        <f>'Китай 2039'!V18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2039'!B19+'Китай 2039'!D19+('Китай 2039'!C19+'Китай 2039'!F19+'Китай 2039'!G19)+(0.35*LN(1+0.6*'Ход 2039'!B25)*POWER(MAX(0,1-'Китай 2039'!I19/10),0.7))))</f>
        <v>10</v>
      </c>
      <c r="C19" s="3">
        <f>MIN(1,(MIN(1,'Китай 2039'!C19+'Китай 2039'!F19+(0.08*LN(1+0.5*'Ход 2039'!C25)*MAX(0,1-('Китай 2039'!C19+'Китай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технологий'!$X$25:$X$240,'Эффекты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2039'!V19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2039'!B20+'Китай 2039'!D20+('Китай 2039'!C20+'Китай 2039'!F20+'Китай 2039'!G20)+(0.35*LN(1+0.6*'Ход 2039'!B26)*POWER(MAX(0,1-'Китай 2039'!I20/10),0.7))))</f>
        <v>10</v>
      </c>
      <c r="C20" s="3">
        <f>MIN(1,(MIN(1,'Китай 2039'!C20+'Китай 2039'!F20+(0.08*LN(1+0.5*'Ход 2039'!C26)*MAX(0,1-('Китай 2039'!C20+'Китай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технологий'!$X$25:$X$240,'Эффекты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2039'!V20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2039'!B21+'Китай 2039'!D21+('Китай 2039'!C21+'Китай 2039'!F21+'Китай 2039'!G21)+(0.35*LN(1+0.6*'Ход 2039'!B27)*POWER(MAX(0,1-'Китай 2039'!I21/10),0.7))))</f>
        <v>10</v>
      </c>
      <c r="C21" s="3">
        <f>MIN(1,(MIN(1,'Китай 2039'!C21+'Китай 2039'!F21+(0.08*LN(1+0.5*'Ход 2039'!C27)*MAX(0,1-('Китай 2039'!C21+'Китай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технологий'!$X$25:$X$240,'Эффекты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2039'!V21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2039'!B22+'Китай 2039'!D22+('Китай 2039'!C22+'Китай 2039'!F22+'Китай 2039'!G22)+(0.35*LN(1+0.6*'Ход 2039'!B28)*POWER(MAX(0,1-'Китай 2039'!I22/10),0.7))))</f>
        <v>10</v>
      </c>
      <c r="C22" s="3">
        <f>MIN(1,(MIN(1,'Китай 2039'!C22+'Китай 2039'!F22+(0.08*LN(1+0.5*'Ход 2039'!C28)*MAX(0,1-('Китай 2039'!C22+'Китай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технологий'!$X$25:$X$240,'Эффекты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2039'!V22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2039'!B23+'Китай 2039'!D23+('Китай 2039'!C23+'Китай 2039'!F23+'Китай 2039'!G23)+(0.35*LN(1+0.6*'Ход 2039'!B29)*POWER(MAX(0,1-'Китай 2039'!I23/10),0.7))))</f>
        <v>10</v>
      </c>
      <c r="C23" s="3">
        <f>MIN(1,(MIN(1,'Китай 2039'!C23+'Китай 2039'!F23+(0.08*LN(1+0.5*'Ход 2039'!C29)*MAX(0,1-('Китай 2039'!C23+'Китай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технологий'!$X$25:$X$240,'Эффекты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2039'!V23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2039'!V24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2039'!B25+'Китай 2039'!D25+('Китай 2039'!C25+'Китай 2039'!F25+'Китай 2039'!G25)+(0.35*LN(1+0.6*'Ход 2039'!B31)*POWER(MAX(0,1-'Китай 2039'!I25/10),0.7))))</f>
        <v>10</v>
      </c>
      <c r="C25" s="3">
        <f>MIN(1,(MIN(1,'Китай 2039'!C25+'Китай 2039'!F25+(0.08*LN(1+0.5*'Ход 2039'!C31)*MAX(0,1-('Китай 2039'!C25+'Китай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технологий'!$X$25:$X$240,'Эффекты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2039'!V25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2039'!B26+'Китай 2039'!D26+('Китай 2039'!C26+'Китай 2039'!F26+'Китай 2039'!G26)+(0.35*LN(1+0.6*'Ход 2039'!B32)*POWER(MAX(0,1-'Китай 2039'!I26/10),0.7))))</f>
        <v>10</v>
      </c>
      <c r="C26" s="3">
        <f>MIN(1,(MIN(1,'Китай 2039'!C26+'Китай 2039'!F26+(0.08*LN(1+0.5*'Ход 2039'!C32)*MAX(0,1-('Китай 2039'!C26+'Китай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технологий'!$X$25:$X$240,'Эффекты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2039'!V26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2039'!B27+'Китай 2039'!D27+('Китай 2039'!C27+'Китай 2039'!F27+'Китай 2039'!G27)+(0.35*LN(1+0.6*'Ход 2039'!B33)*POWER(MAX(0,1-'Китай 2039'!I27/10),0.7))))</f>
        <v>10</v>
      </c>
      <c r="C27" s="3">
        <f>MIN(1,(MIN(1,'Китай 2039'!C27+'Китай 2039'!F27+(0.08*LN(1+0.5*'Ход 2039'!C33)*MAX(0,1-('Китай 2039'!C27+'Китай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технологий'!$X$25:$X$240,'Эффекты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2039'!B28+'Китай 2039'!D28+('Китай 2039'!C28+'Китай 2039'!F28+'Китай 2039'!G28)+(0.35*LN(1+0.6*'Ход 2039'!B34)*POWER(MAX(0,1-'Китай 2039'!I28/10),0.7))))</f>
        <v>10</v>
      </c>
      <c r="C28" s="3">
        <f>MIN(1,(MIN(1,'Китай 2039'!C28+'Китай 2039'!F28+(0.08*LN(1+0.5*'Ход 2039'!C34)*MAX(0,1-('Китай 2039'!C28+'Китай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технологий'!$X$25:$X$240,'Эффекты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2039'!B29+'Китай 2039'!D29+('Китай 2039'!C29+'Китай 2039'!F29+'Китай 2039'!G29)+(0.35*LN(1+0.6*'Ход 2039'!B35)*POWER(MAX(0,1-'Китай 2039'!I29/10),0.7))))</f>
        <v>10</v>
      </c>
      <c r="C29" s="3">
        <f>MIN(1,(MIN(1,'Китай 2039'!C29+'Китай 2039'!F29+(0.08*LN(1+0.5*'Ход 2039'!C35)*MAX(0,1-('Китай 2039'!C29+'Китай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технологий'!$X$25:$X$240,'Эффекты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2039'!B30+'Китай 2039'!D30+('Китай 2039'!C30+'Китай 2039'!F30+'Китай 2039'!G30)+(0.35*LN(1+0.6*'Ход 2039'!B36)*POWER(MAX(0,1-'Китай 2039'!I30/10),0.7))))</f>
        <v>10</v>
      </c>
      <c r="C30" s="3">
        <f>MIN(1,(MIN(1,'Китай 2039'!C30+'Китай 2039'!F30+(0.08*LN(1+0.5*'Ход 2039'!C36)*MAX(0,1-('Китай 2039'!C30+'Китай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технологий'!$X$25:$X$240,'Эффекты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2039'!B31+'Китай 2039'!D31+('Китай 2039'!C31+'Китай 2039'!F31+'Китай 2039'!G31)+(0.35*LN(1+0.6*'Ход 2039'!B37)*POWER(MAX(0,1-'Китай 2039'!I31/10),0.7))))</f>
        <v>10</v>
      </c>
      <c r="C31" s="3">
        <f>MIN(1,(MIN(1,'Китай 2039'!C31+'Китай 2039'!F31+(0.08*LN(1+0.5*'Ход 2039'!C37)*MAX(0,1-('Китай 2039'!C31+'Китай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технологий'!$X$25:$X$240,'Эффекты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2039'!B32+'Китай 2039'!D32+('Китай 2039'!C32+'Китай 2039'!F32+'Китай 2039'!G32)+(0.35*LN(1+0.6*'Ход 2039'!B38)*POWER(MAX(0,1-'Китай 2039'!I32/10),0.7))))</f>
        <v>10</v>
      </c>
      <c r="C32" s="3">
        <f>MIN(1,(MIN(1,'Китай 2039'!C32+'Китай 2039'!F32+(0.08*LN(1+0.5*'Ход 2039'!C38)*MAX(0,1-('Китай 2039'!C32+'Китай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технологий'!$X$25:$X$240,'Эффекты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2039'!B34+'Китай 2039'!D34+('Китай 2039'!C34+'Китай 2039'!F34+'Китай 2039'!G34)+(0.35*LN(1+0.6*'Ход 2039'!B40)*POWER(MAX(0,1-'Китай 2039'!I34/10),0.7))))</f>
        <v>10</v>
      </c>
      <c r="C34" s="3">
        <f>MIN(1,(MIN(1,'Китай 2039'!C34+'Китай 2039'!F34+(0.08*LN(1+0.5*'Ход 2039'!C40)*MAX(0,1-('Китай 2039'!C34+'Китай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технологий'!$X$25:$X$240,'Эффекты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2039'!B35+'Китай 2039'!D35+('Китай 2039'!C35+'Китай 2039'!F35+'Китай 2039'!G35)+(0.35*LN(1+0.6*'Ход 2039'!B41)*POWER(MAX(0,1-'Китай 2039'!I35/10),0.7))))</f>
        <v>10</v>
      </c>
      <c r="C35" s="3">
        <f>MIN(1,(MIN(1,'Китай 2039'!C35+'Китай 2039'!F35+(0.08*LN(1+0.5*'Ход 2039'!C41)*MAX(0,1-('Китай 2039'!C35+'Китай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технологий'!$X$25:$X$240,'Эффекты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2039'!B36+'Китай 2039'!D36+('Китай 2039'!C36+'Китай 2039'!F36+'Китай 2039'!G36)+(0.35*LN(1+0.6*'Ход 2039'!B42)*POWER(MAX(0,1-'Китай 2039'!I36/10),0.7))))</f>
        <v>10</v>
      </c>
      <c r="C36" s="3">
        <f>MIN(1,(MIN(1,'Китай 2039'!C36+'Китай 2039'!F36+(0.08*LN(1+0.5*'Ход 2039'!C42)*MAX(0,1-('Китай 2039'!C36+'Китай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технологий'!$X$25:$X$240,'Эффекты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2039'!B37+'Китай 2039'!D37+('Китай 2039'!C37+'Китай 2039'!F37+'Китай 2039'!G37)+(0.35*LN(1+0.6*'Ход 2039'!B43)*POWER(MAX(0,1-'Китай 2039'!I37/10),0.7))))</f>
        <v>10</v>
      </c>
      <c r="C37" s="3">
        <f>MIN(1,(MIN(1,'Китай 2039'!C37+'Китай 2039'!F37+(0.08*LN(1+0.5*'Ход 2039'!C43)*MAX(0,1-('Китай 2039'!C37+'Китай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технологий'!$X$25:$X$240,'Эффекты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2039'!B38+'Китай 2039'!D38+('Китай 2039'!C38+'Китай 2039'!F38+'Китай 2039'!G38)+(0.35*LN(1+0.6*'Ход 2039'!B44)*POWER(MAX(0,1-'Китай 2039'!I38/10),0.7))))</f>
        <v>10</v>
      </c>
      <c r="C38" s="3">
        <f>MIN(1,(MIN(1,'Китай 2039'!C38+'Китай 2039'!F38+(0.08*LN(1+0.5*'Ход 2039'!C44)*MAX(0,1-('Китай 2039'!C38+'Китай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технологий'!$X$25:$X$240,'Эффекты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2039'!B39+'Китай 2039'!D39+('Китай 2039'!C39+'Китай 2039'!F39+'Китай 2039'!G39)+(0.35*LN(1+0.6*'Ход 2039'!B45)*POWER(MAX(0,1-'Китай 2039'!I39/10),0.7))))</f>
        <v>10</v>
      </c>
      <c r="C39" s="3">
        <f>MIN(1,(MIN(1,'Китай 2039'!C39+'Китай 2039'!F39+(0.08*LN(1+0.5*'Ход 2039'!C45)*MAX(0,1-('Китай 2039'!C39+'Китай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технологий'!$X$25:$X$240,'Эффекты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2039'!B40+'Китай 2039'!D40+('Китай 2039'!C40+'Китай 2039'!F40+'Китай 2039'!G40)+(0.35*LN(1+0.6*'Ход 2039'!B46)*POWER(MAX(0,1-'Китай 2039'!I40/10),0.7))))</f>
        <v>10</v>
      </c>
      <c r="C40" s="3">
        <f>MIN(1,(MIN(1,'Китай 2039'!C40+'Китай 2039'!F40+(0.08*LN(1+0.5*'Ход 2039'!C46)*MAX(0,1-('Китай 2039'!C40+'Китай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технологий'!$X$25:$X$240,'Эффекты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2039'!B41+'Китай 2039'!D41+('Китай 2039'!C41+'Китай 2039'!F41+'Китай 2039'!G41)+(0.35*LN(1+0.6*'Ход 2039'!B47)*POWER(MAX(0,1-'Китай 2039'!I41/10),0.7))))</f>
        <v>10</v>
      </c>
      <c r="C41" s="3">
        <f>MIN(1,(MIN(1,'Китай 2039'!C41+'Китай 2039'!F41+(0.08*LN(1+0.5*'Ход 2039'!C47)*MAX(0,1-('Китай 2039'!C41+'Китай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технологий'!$X$25:$X$240,'Эффекты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2039'!B42+'Китай 2039'!D42+('Китай 2039'!C42+'Китай 2039'!F42+'Китай 2039'!G42)+(0.35*LN(1+0.6*'Ход 2039'!B48)*POWER(MAX(0,1-'Китай 2039'!I42/10),0.7))))</f>
        <v>10</v>
      </c>
      <c r="C42" s="3">
        <f>MIN(1,(MIN(1,'Китай 2039'!C42+'Китай 2039'!F42+(0.08*LN(1+0.5*'Ход 2039'!C48)*MAX(0,1-('Китай 2039'!C42+'Китай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технологий'!$X$25:$X$240,'Эффекты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2039'!B44+'Китай 2039'!D44+('Китай 2039'!C44+'Китай 2039'!F44+'Китай 2039'!G44)+(0.35*LN(1+0.6*'Ход 2039'!B50)*POWER(MAX(0,1-'Китай 2039'!I44/10),0.7))))</f>
        <v>10</v>
      </c>
      <c r="C44" s="3">
        <f>MIN(1,(MIN(1,'Китай 2039'!C44+'Китай 2039'!F44+(0.08*LN(1+0.5*'Ход 2039'!C50)*MAX(0,1-('Китай 2039'!C44+'Китай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технологий'!$X$25:$X$240,'Эффекты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2039'!B45+'Китай 2039'!D45+('Китай 2039'!C45+'Китай 2039'!F45+'Китай 2039'!G45)+(0.35*LN(1+0.6*'Ход 2039'!B51)*POWER(MAX(0,1-'Китай 2039'!I45/10),0.7))))</f>
        <v>10</v>
      </c>
      <c r="C45" s="3">
        <f>MIN(1,(MIN(1,'Китай 2039'!C45+'Китай 2039'!F45+(0.08*LN(1+0.5*'Ход 2039'!C51)*MAX(0,1-('Китай 2039'!C45+'Китай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технологий'!$X$25:$X$240,'Эффекты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2039'!B46+'Китай 2039'!D46+('Китай 2039'!C46+'Китай 2039'!F46+'Китай 2039'!G46)+(0.35*LN(1+0.6*'Ход 2039'!B52)*POWER(MAX(0,1-'Китай 2039'!I46/10),0.7))))</f>
        <v>10</v>
      </c>
      <c r="C46" s="3">
        <f>MIN(1,(MIN(1,'Китай 2039'!C46+'Китай 2039'!F46+(0.08*LN(1+0.5*'Ход 2039'!C52)*MAX(0,1-('Китай 2039'!C46+'Китай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технологий'!$X$25:$X$240,'Эффекты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2039'!B47+'Китай 2039'!D47+('Китай 2039'!C47+'Китай 2039'!F47+'Китай 2039'!G47)+(0.35*LN(1+0.6*'Ход 2039'!B53)*POWER(MAX(0,1-'Китай 2039'!I47/10),0.7))))</f>
        <v>6.6497728327968932</v>
      </c>
      <c r="C47" s="3">
        <f>MIN(1,(MIN(1,'Китай 2039'!C47+'Китай 2039'!F47+(0.08*LN(1+0.5*'Ход 2039'!C53)*MAX(0,1-('Китай 2039'!C47+'Китай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6.6497728327968932</v>
      </c>
      <c r="J47" s="10">
        <f>SUMIFS('Эффекты технологий'!$X$25:$X$240,'Эффекты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2039'!B48+'Китай 2039'!D48+('Китай 2039'!C48+'Китай 2039'!F48+'Китай 2039'!G48)+(0.35*LN(1+0.6*'Ход 2039'!B54)*POWER(MAX(0,1-'Китай 2039'!I48/10),0.7))))</f>
        <v>9.2000000000000099</v>
      </c>
      <c r="C48" s="3">
        <f>MIN(1,(MIN(1,'Китай 2039'!C48+'Китай 2039'!F48+(0.08*LN(1+0.5*'Ход 2039'!C54)*MAX(0,1-('Китай 2039'!C48+'Китай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9.2000000000000099</v>
      </c>
      <c r="J48" s="10">
        <f>SUMIFS('Эффекты технологий'!$X$25:$X$240,'Эффекты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2039'!B49+'Китай 2039'!D49+('Китай 2039'!C49+'Китай 2039'!F49+'Китай 2039'!G49)+(0.35*LN(1+0.6*'Ход 2039'!B55)*POWER(MAX(0,1-'Китай 2039'!I49/10),0.7))))</f>
        <v>10</v>
      </c>
      <c r="C49" s="3">
        <f>MIN(1,(MIN(1,'Китай 2039'!C49+'Китай 2039'!F49+(0.08*LN(1+0.5*'Ход 2039'!C55)*MAX(0,1-('Китай 2039'!C49+'Китай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технологий'!$X$25:$X$240,'Эффекты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2039'!B50+'Китай 2039'!D50+('Китай 2039'!C50+'Китай 2039'!F50+'Китай 2039'!G50)+(0.35*LN(1+0.6*'Ход 2039'!B56)*POWER(MAX(0,1-'Китай 2039'!I50/10),0.7))))</f>
        <v>10</v>
      </c>
      <c r="C50" s="3">
        <f>MIN(1,(MIN(1,'Китай 2039'!C50+'Китай 2039'!F50+(0.08*LN(1+0.5*'Ход 2039'!C56)*MAX(0,1-('Китай 2039'!C50+'Китай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технологий'!$X$25:$X$240,'Эффекты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2039'!B51+'Китай 2039'!D51+('Китай 2039'!C51+'Китай 2039'!F51+'Китай 2039'!G51)+(0.35*LN(1+0.6*'Ход 2039'!B57)*POWER(MAX(0,1-'Китай 2039'!I51/10),0.7))))</f>
        <v>10</v>
      </c>
      <c r="C51" s="3">
        <f>MIN(1,(MIN(1,'Китай 2039'!C51+'Китай 2039'!F51+(0.08*LN(1+0.5*'Ход 2039'!C57)*MAX(0,1-('Китай 2039'!C51+'Китай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технологий'!$X$25:$X$240,'Эффекты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2039'!B53+'Китай 2039'!D53+('Китай 2039'!C53+'Китай 2039'!F53+'Китай 2039'!G53)+(0.35*LN(1+0.6*'Ход 2039'!B59)*POWER(MAX(0,1-'Китай 2039'!I53/10),0.7))))</f>
        <v>10</v>
      </c>
      <c r="C53" s="3">
        <f>MIN(1,(MIN(1,'Китай 2039'!C53+'Китай 2039'!F53+(0.08*LN(1+0.5*'Ход 2039'!C59)*MAX(0,1-('Китай 2039'!C53+'Китай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технологий'!$X$25:$X$240,'Эффекты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2039'!B54+'Китай 2039'!D54+('Китай 2039'!C54+'Китай 2039'!F54+'Китай 2039'!G54)+(0.35*LN(1+0.6*'Ход 2039'!B60)*POWER(MAX(0,1-'Китай 2039'!I54/10),0.7))))</f>
        <v>10</v>
      </c>
      <c r="C54" s="3">
        <f>MIN(1,(MIN(1,'Китай 2039'!C54+'Китай 2039'!F54+(0.08*LN(1+0.5*'Ход 2039'!C60)*MAX(0,1-('Китай 2039'!C54+'Китай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технологий'!$X$25:$X$240,'Эффекты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2039'!B55+'Китай 2039'!D55+('Китай 2039'!C55+'Китай 2039'!F55+'Китай 2039'!G55)+(0.35*LN(1+0.6*'Ход 2039'!B61)*POWER(MAX(0,1-'Китай 2039'!I55/10),0.7))))</f>
        <v>10</v>
      </c>
      <c r="C55" s="3">
        <f>MIN(1,(MIN(1,'Китай 2039'!C55+'Китай 2039'!F55+(0.08*LN(1+0.5*'Ход 2039'!C61)*MAX(0,1-('Китай 2039'!C55+'Китай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технологий'!$X$25:$X$240,'Эффекты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9" t="s">
        <v>362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>
      <c r="A3" s="31" t="s">
        <v>320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5" t="s">
        <v>244</v>
      </c>
      <c r="B5" s="35"/>
      <c r="C5" s="35"/>
      <c r="D5" s="3"/>
      <c r="E5" s="35" t="s">
        <v>241</v>
      </c>
      <c r="F5" s="35"/>
      <c r="G5" s="35"/>
      <c r="H5" s="3"/>
      <c r="I5" s="35" t="s">
        <v>242</v>
      </c>
      <c r="J5" s="35"/>
      <c r="K5" s="35"/>
      <c r="L5" s="3"/>
      <c r="M5" s="35" t="s">
        <v>243</v>
      </c>
      <c r="N5" s="35"/>
      <c r="O5" s="35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'Китай 2040'!U6</f>
        <v>99.986660678288729</v>
      </c>
      <c r="C6" s="3"/>
      <c r="D6" s="3"/>
      <c r="E6" s="3" t="s">
        <v>321</v>
      </c>
      <c r="F6" s="3">
        <f>'Китай 2040'!K6</f>
        <v>99.704707385379137</v>
      </c>
      <c r="G6" s="3"/>
      <c r="H6" s="3"/>
      <c r="I6" s="3" t="s">
        <v>321</v>
      </c>
      <c r="J6" s="3">
        <f>'Китай 2040'!N6</f>
        <v>100</v>
      </c>
      <c r="K6" s="3"/>
      <c r="L6" s="3"/>
      <c r="M6" s="3" t="s">
        <v>321</v>
      </c>
      <c r="N6" s="3">
        <f>'Китай 2040'!Q6</f>
        <v>85.672395474608081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99.986660678288729</v>
      </c>
      <c r="C8" s="3" t="str">
        <f>IF(B8&lt;0,"ПРЕВЫШЕНИЕ","OK")</f>
        <v>OK</v>
      </c>
      <c r="D8" s="3"/>
      <c r="E8" s="3" t="s">
        <v>323</v>
      </c>
      <c r="F8" s="3">
        <f>F6-F7</f>
        <v>99.704707385379137</v>
      </c>
      <c r="G8" s="3" t="str">
        <f>IF(F8&lt;0,"ПРЕВЫШЕНИЕ","OK")</f>
        <v>OK</v>
      </c>
      <c r="H8" s="3"/>
      <c r="I8" s="3" t="s">
        <v>323</v>
      </c>
      <c r="J8" s="3">
        <f>J6-J7</f>
        <v>100</v>
      </c>
      <c r="K8" s="3" t="str">
        <f>IF(J8&lt;0,"ПРЕВЫШЕНИЕ","OK")</f>
        <v>OK</v>
      </c>
      <c r="L8" s="3"/>
      <c r="M8" s="3" t="s">
        <v>323</v>
      </c>
      <c r="N8" s="3">
        <f>N6-N7</f>
        <v>85.672395474608081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7" t="s">
        <v>324</v>
      </c>
      <c r="B11" s="37"/>
      <c r="C11" s="37"/>
      <c r="D11" s="3"/>
      <c r="E11" s="3"/>
      <c r="F11" s="3"/>
      <c r="G11" s="37" t="s">
        <v>325</v>
      </c>
      <c r="H11" s="37"/>
      <c r="I11" s="3"/>
      <c r="J11" s="3"/>
      <c r="K11" s="3"/>
      <c r="L11" s="38" t="s">
        <v>326</v>
      </c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 t="s">
        <v>363</v>
      </c>
      <c r="S12" s="3" t="s">
        <v>364</v>
      </c>
      <c r="T12" s="3" t="s">
        <v>365</v>
      </c>
      <c r="U12" s="3" t="s">
        <v>366</v>
      </c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'Китай 2040'!V11</f>
        <v>3</v>
      </c>
      <c r="N13" s="7">
        <v>0</v>
      </c>
      <c r="O13" s="7">
        <v>0</v>
      </c>
      <c r="P13" s="7">
        <v>0</v>
      </c>
      <c r="Q13" s="7">
        <v>0</v>
      </c>
      <c r="R13" s="8">
        <v>8.2238012692185156E-2</v>
      </c>
      <c r="S13" s="8">
        <f t="shared" ref="S13:S28" si="0">MAX(0,1-R13-T13)</f>
        <v>0.8</v>
      </c>
      <c r="T13" s="8">
        <v>0.11776198730781486</v>
      </c>
      <c r="U13" s="3">
        <f t="shared" ref="U13:U28" ca="1" si="1">RANDBETWEEN(0,100)</f>
        <v>78</v>
      </c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'Китай 2040'!V12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v>0.14049253618384597</v>
      </c>
      <c r="S14" s="8">
        <f t="shared" si="0"/>
        <v>0.8</v>
      </c>
      <c r="T14" s="8">
        <v>5.9507463816154037E-2</v>
      </c>
      <c r="U14" s="3">
        <f t="shared" ca="1" si="1"/>
        <v>61</v>
      </c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'Китай 2040'!V13</f>
        <v>-0.4</v>
      </c>
      <c r="N15" s="7">
        <v>0</v>
      </c>
      <c r="O15" s="7">
        <v>0</v>
      </c>
      <c r="P15" s="7">
        <v>0</v>
      </c>
      <c r="Q15" s="7">
        <v>0</v>
      </c>
      <c r="R15" s="8">
        <v>0.1387547572345661</v>
      </c>
      <c r="S15" s="8">
        <f t="shared" si="0"/>
        <v>0.8</v>
      </c>
      <c r="T15" s="8">
        <v>6.1245242765433902E-2</v>
      </c>
      <c r="U15" s="3">
        <f t="shared" ca="1" si="1"/>
        <v>94</v>
      </c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'Китай 2040'!V14</f>
        <v>0.5</v>
      </c>
      <c r="N16" s="7">
        <v>0</v>
      </c>
      <c r="O16" s="7">
        <v>0</v>
      </c>
      <c r="P16" s="7">
        <v>0</v>
      </c>
      <c r="Q16" s="7">
        <v>0</v>
      </c>
      <c r="R16" s="8">
        <v>7.7691615925845281E-2</v>
      </c>
      <c r="S16" s="8">
        <f t="shared" si="0"/>
        <v>0.8</v>
      </c>
      <c r="T16" s="8">
        <v>0.12230838407415473</v>
      </c>
      <c r="U16" s="3">
        <f t="shared" ca="1" si="1"/>
        <v>3</v>
      </c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'Китай 2040'!V15</f>
        <v>1.8</v>
      </c>
      <c r="N17" s="7">
        <v>0</v>
      </c>
      <c r="O17" s="7">
        <v>0</v>
      </c>
      <c r="P17" s="7">
        <v>0</v>
      </c>
      <c r="Q17" s="7">
        <v>0</v>
      </c>
      <c r="R17" s="8">
        <v>8.3705631783712708E-2</v>
      </c>
      <c r="S17" s="8">
        <f t="shared" si="0"/>
        <v>0.8</v>
      </c>
      <c r="T17" s="8">
        <v>0.1162943682162873</v>
      </c>
      <c r="U17" s="3">
        <f t="shared" ca="1" si="1"/>
        <v>42</v>
      </c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'Китай 2040'!V16</f>
        <v>1.4</v>
      </c>
      <c r="N18" s="7">
        <v>0</v>
      </c>
      <c r="O18" s="7">
        <v>0</v>
      </c>
      <c r="P18" s="7">
        <v>0</v>
      </c>
      <c r="Q18" s="7">
        <v>0</v>
      </c>
      <c r="R18" s="8">
        <v>7.9229897809875022E-2</v>
      </c>
      <c r="S18" s="8">
        <f t="shared" si="0"/>
        <v>0.8</v>
      </c>
      <c r="T18" s="8">
        <v>0.12077010219012499</v>
      </c>
      <c r="U18" s="3">
        <f t="shared" ca="1" si="1"/>
        <v>82</v>
      </c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'Китай 2040'!V17</f>
        <v>-0.8</v>
      </c>
      <c r="N19" s="7">
        <v>0</v>
      </c>
      <c r="O19" s="7">
        <v>0</v>
      </c>
      <c r="P19" s="7">
        <v>0</v>
      </c>
      <c r="Q19" s="7">
        <v>0</v>
      </c>
      <c r="R19" s="8">
        <v>8.5147256811077682E-2</v>
      </c>
      <c r="S19" s="8">
        <f t="shared" si="0"/>
        <v>0.79999999999999993</v>
      </c>
      <c r="T19" s="8">
        <v>0.11485274318892233</v>
      </c>
      <c r="U19" s="3">
        <f t="shared" ca="1" si="1"/>
        <v>48</v>
      </c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'Китай 2040'!V18</f>
        <v>0.8</v>
      </c>
      <c r="N20" s="7">
        <v>0</v>
      </c>
      <c r="O20" s="7">
        <v>0</v>
      </c>
      <c r="P20" s="7">
        <v>0</v>
      </c>
      <c r="Q20" s="7">
        <v>0</v>
      </c>
      <c r="R20" s="8">
        <v>8.656139963553057E-2</v>
      </c>
      <c r="S20" s="8">
        <f t="shared" si="0"/>
        <v>0.8</v>
      </c>
      <c r="T20" s="8">
        <v>0.11343860036446944</v>
      </c>
      <c r="U20" s="3">
        <f t="shared" ca="1" si="1"/>
        <v>75</v>
      </c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'Китай 2040'!V19</f>
        <v>2.1</v>
      </c>
      <c r="N21" s="7">
        <v>0</v>
      </c>
      <c r="O21" s="7">
        <v>0</v>
      </c>
      <c r="P21" s="7">
        <v>0</v>
      </c>
      <c r="Q21" s="7">
        <v>0</v>
      </c>
      <c r="R21" s="8">
        <v>0.11485274318892233</v>
      </c>
      <c r="S21" s="8">
        <f t="shared" si="0"/>
        <v>0.79999999999999993</v>
      </c>
      <c r="T21" s="8">
        <v>8.5147256811077682E-2</v>
      </c>
      <c r="U21" s="3">
        <f t="shared" ca="1" si="1"/>
        <v>12</v>
      </c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8" t="s">
        <v>335</v>
      </c>
      <c r="H22" s="38"/>
      <c r="I22" s="38"/>
      <c r="J22" s="38"/>
      <c r="K22" s="3"/>
      <c r="L22" s="3" t="s">
        <v>552</v>
      </c>
      <c r="M22" s="3">
        <f>'Китай 2040'!V20</f>
        <v>2.8</v>
      </c>
      <c r="N22" s="7">
        <v>0</v>
      </c>
      <c r="O22" s="7">
        <v>0</v>
      </c>
      <c r="P22" s="7">
        <v>0</v>
      </c>
      <c r="Q22" s="7">
        <v>0</v>
      </c>
      <c r="R22" s="8">
        <v>0.11343860036446944</v>
      </c>
      <c r="S22" s="8">
        <f t="shared" si="0"/>
        <v>0.8</v>
      </c>
      <c r="T22" s="8">
        <v>8.656139963553057E-2</v>
      </c>
      <c r="U22" s="3">
        <f t="shared" ca="1" si="1"/>
        <v>1</v>
      </c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'Китай 2040'!V21</f>
        <v>3</v>
      </c>
      <c r="N23" s="7">
        <v>0</v>
      </c>
      <c r="O23" s="7">
        <v>0</v>
      </c>
      <c r="P23" s="7">
        <v>0</v>
      </c>
      <c r="Q23" s="7">
        <v>0</v>
      </c>
      <c r="R23" s="8">
        <v>0.13703242796889645</v>
      </c>
      <c r="S23" s="8">
        <f t="shared" si="0"/>
        <v>0.79999999999999993</v>
      </c>
      <c r="T23" s="8">
        <v>6.2967572031103564E-2</v>
      </c>
      <c r="U23" s="3">
        <f t="shared" ca="1" si="1"/>
        <v>19</v>
      </c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'Китай 2040'!V22</f>
        <v>0.3</v>
      </c>
      <c r="N24" s="7">
        <v>0</v>
      </c>
      <c r="O24" s="7">
        <v>0</v>
      </c>
      <c r="P24" s="7">
        <v>0</v>
      </c>
      <c r="Q24" s="7">
        <v>0</v>
      </c>
      <c r="R24" s="8">
        <v>9.8568916494400138E-2</v>
      </c>
      <c r="S24" s="8">
        <f t="shared" si="0"/>
        <v>0.8</v>
      </c>
      <c r="T24" s="8">
        <v>0.10143108350559987</v>
      </c>
      <c r="U24" s="3">
        <f t="shared" ca="1" si="1"/>
        <v>26</v>
      </c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технологий'!X$16</f>
        <v>0</v>
      </c>
      <c r="H25" s="11">
        <f>'Эффекты технологий'!X$17</f>
        <v>0</v>
      </c>
      <c r="I25" s="11">
        <f>'Эффекты технологий'!X$18</f>
        <v>0</v>
      </c>
      <c r="J25" s="12"/>
      <c r="K25" s="3"/>
      <c r="L25" s="3" t="s">
        <v>558</v>
      </c>
      <c r="M25" s="3">
        <f>'Китай 2040'!V23</f>
        <v>3</v>
      </c>
      <c r="N25" s="7">
        <v>0</v>
      </c>
      <c r="O25" s="7">
        <v>0</v>
      </c>
      <c r="P25" s="7">
        <v>0</v>
      </c>
      <c r="Q25" s="7">
        <v>0</v>
      </c>
      <c r="R25" s="8">
        <v>0.12077010219012499</v>
      </c>
      <c r="S25" s="8">
        <f t="shared" si="0"/>
        <v>0.8</v>
      </c>
      <c r="T25" s="8">
        <v>7.9229897809875022E-2</v>
      </c>
      <c r="U25" s="3">
        <f t="shared" ca="1" si="1"/>
        <v>51</v>
      </c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'Китай 2040'!V24</f>
        <v>3</v>
      </c>
      <c r="N26" s="7">
        <v>0</v>
      </c>
      <c r="O26" s="7">
        <v>0</v>
      </c>
      <c r="P26" s="7">
        <v>0</v>
      </c>
      <c r="Q26" s="7">
        <v>0</v>
      </c>
      <c r="R26" s="8">
        <v>0.12230838407415473</v>
      </c>
      <c r="S26" s="8">
        <f t="shared" si="0"/>
        <v>0.79999999999999993</v>
      </c>
      <c r="T26" s="8">
        <v>7.7691615925845281E-2</v>
      </c>
      <c r="U26" s="3">
        <f t="shared" ca="1" si="1"/>
        <v>34</v>
      </c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8" t="s">
        <v>342</v>
      </c>
      <c r="H27" s="38"/>
      <c r="I27" s="38"/>
      <c r="J27" s="38"/>
      <c r="K27" s="38"/>
      <c r="L27" s="3" t="s">
        <v>562</v>
      </c>
      <c r="M27" s="3">
        <f>'Китай 2040'!V25</f>
        <v>2.8</v>
      </c>
      <c r="N27" s="7">
        <v>0</v>
      </c>
      <c r="O27" s="7">
        <v>0</v>
      </c>
      <c r="P27" s="7">
        <v>0</v>
      </c>
      <c r="Q27" s="7">
        <v>0</v>
      </c>
      <c r="R27" s="8">
        <v>0.12230838407415473</v>
      </c>
      <c r="S27" s="8">
        <f t="shared" si="0"/>
        <v>0.79999999999999993</v>
      </c>
      <c r="T27" s="8">
        <v>7.7691615925845281E-2</v>
      </c>
      <c r="U27" s="3">
        <f t="shared" ca="1" si="1"/>
        <v>57</v>
      </c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'Китай 2040'!V26</f>
        <v>0</v>
      </c>
      <c r="N28" s="7">
        <v>0</v>
      </c>
      <c r="O28" s="7">
        <v>0</v>
      </c>
      <c r="P28" s="7">
        <v>0</v>
      </c>
      <c r="Q28" s="7">
        <v>0</v>
      </c>
      <c r="R28" s="8">
        <v>0.1</v>
      </c>
      <c r="S28" s="8">
        <f t="shared" si="0"/>
        <v>0.8</v>
      </c>
      <c r="T28" s="8">
        <v>0.1</v>
      </c>
      <c r="U28" s="3">
        <f t="shared" ca="1" si="1"/>
        <v>73</v>
      </c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IF(G30="","",VLOOKUP(G30,Технологии!$A$11:$BF$50,58,FALSE))</f>
        <v/>
      </c>
      <c r="L30" s="3"/>
      <c r="M30" s="3"/>
      <c r="N30" s="12" t="s">
        <v>340</v>
      </c>
      <c r="O30" s="11">
        <f>'Эффекты технологий'!X$13</f>
        <v>0</v>
      </c>
      <c r="P30" s="11">
        <f>'Эффекты технологий'!X$14</f>
        <v>0</v>
      </c>
      <c r="Q30" s="11">
        <f>'Эффекты технологий'!X$15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4" t="s">
        <v>580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>
      <c r="A3" s="31" t="s">
        <v>239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3" t="s">
        <v>240</v>
      </c>
      <c r="B5" s="33"/>
      <c r="C5" s="33"/>
      <c r="D5" s="33"/>
      <c r="E5" s="33"/>
      <c r="F5" s="33"/>
      <c r="G5" s="33"/>
      <c r="H5" s="33"/>
      <c r="I5" s="33"/>
      <c r="J5" s="3"/>
      <c r="K5" s="35" t="s">
        <v>241</v>
      </c>
      <c r="L5" s="35"/>
      <c r="M5" s="35"/>
      <c r="N5" s="35" t="s">
        <v>242</v>
      </c>
      <c r="O5" s="35"/>
      <c r="P5" s="35"/>
      <c r="Q5" s="35" t="s">
        <v>243</v>
      </c>
      <c r="R5" s="35"/>
      <c r="S5" s="35"/>
      <c r="T5" s="3"/>
      <c r="U5" s="35" t="s">
        <v>244</v>
      </c>
      <c r="V5" s="35"/>
      <c r="W5" s="35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6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99.7187957864098</v>
      </c>
      <c r="L6" s="36"/>
      <c r="M6" s="36"/>
      <c r="N6" s="36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100</v>
      </c>
      <c r="O6" s="36"/>
      <c r="P6" s="36"/>
      <c r="Q6" s="3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85.716797995505331</v>
      </c>
      <c r="R6" s="36"/>
      <c r="S6" s="36"/>
      <c r="T6" s="3"/>
      <c r="U6" s="3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99.988912286544974</v>
      </c>
      <c r="V6" s="36"/>
      <c r="W6" s="36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6"/>
      <c r="L7" s="36"/>
      <c r="M7" s="36"/>
      <c r="N7" s="36"/>
      <c r="O7" s="36"/>
      <c r="P7" s="36"/>
      <c r="Q7" s="36"/>
      <c r="R7" s="36"/>
      <c r="S7" s="36"/>
      <c r="T7" s="3"/>
      <c r="U7" s="36"/>
      <c r="V7" s="36"/>
      <c r="W7" s="36"/>
      <c r="X7" s="3"/>
    </row>
    <row r="8" spans="1:24">
      <c r="A8" s="3" t="s">
        <v>256</v>
      </c>
      <c r="B8" s="3">
        <f>MAX(1,MIN(10,'Китай 2040'!B8+'Китай 2040'!D8+('Китай 2040'!C8+'Китай 2040'!F8+'Китай 2040'!G8)+(0.35*LN(1+0.6*('Ход 2040'!B14*(1+'Эффекты технологий'!X$12)))*POWER(MAX(0,1-'Китай 2040'!I8/10),0.7))))</f>
        <v>10</v>
      </c>
      <c r="C8" s="3">
        <f>MIN(1,(MIN(1,'Китай 2040'!C8+'Китай 2040'!F8+(0.08*LN(1+0.5*('Ход 2040'!C14*(1+'Эффекты технологий'!X$12)))*MAX(0,1-('Китай 2040'!C8+'Китай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10</v>
      </c>
      <c r="J8" s="10">
        <f>SUMIFS('Эффекты технологий'!$Y$25:$Y$240,'Эффекты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MAX(1,MIN(10,'Китай 2040'!B9+'Китай 2040'!D9+('Китай 2040'!C9+'Китай 2040'!F9+'Китай 2040'!G9)+(0.35*LN(1+0.6*('Ход 2040'!B15*(1+'Эффекты технологий'!X$12)))*POWER(MAX(0,1-'Китай 2040'!I9/10),0.7))))</f>
        <v>10</v>
      </c>
      <c r="C9" s="3">
        <f>MIN(1,(MIN(1,'Китай 2040'!C9+'Китай 2040'!F9+(0.08*LN(1+0.5*('Ход 2040'!C15*(1+'Эффекты технологий'!X$12)))*MAX(0,1-('Китай 2040'!C9+'Китай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технологий'!$Y$25:$Y$240,'Эффекты технологий'!$C$25:$C$240,$A9,'Эффекты технологий'!$D$25:$D$240,"Значение")</f>
        <v>0</v>
      </c>
      <c r="K9" s="33" t="s">
        <v>258</v>
      </c>
      <c r="L9" s="33"/>
      <c r="M9" s="33"/>
      <c r="N9" s="33"/>
      <c r="O9" s="33"/>
      <c r="P9" s="33"/>
      <c r="Q9" s="33"/>
      <c r="R9" s="33"/>
      <c r="S9" s="33"/>
      <c r="T9" s="3"/>
      <c r="U9" s="33" t="s">
        <v>259</v>
      </c>
      <c r="V9" s="33"/>
      <c r="W9" s="33"/>
      <c r="X9" s="33"/>
    </row>
    <row r="10" spans="1:24" ht="45">
      <c r="A10" s="3" t="s">
        <v>260</v>
      </c>
      <c r="B10" s="3">
        <f>MAX(1,MIN(10,'Китай 2040'!B10+'Китай 2040'!D10+('Китай 2040'!C10+'Китай 2040'!F10+'Китай 2040'!G10)+(0.35*LN(1+0.6*('Ход 2040'!B16*(1+'Эффекты технологий'!X$12)))*POWER(MAX(0,1-'Китай 2040'!I10/10),0.7))))</f>
        <v>10</v>
      </c>
      <c r="C10" s="3">
        <f>MIN(1,(MIN(1,'Китай 2040'!C10+'Китай 2040'!F10+(0.08*LN(1+0.5*('Ход 2040'!C16*(1+'Эффекты технологий'!X$12)))*MAX(0,1-('Китай 2040'!C10+'Китай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f>
        <v>0.31467260603059555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технологий'!$Y$25:$Y$240,'Эффекты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MAX(1,MIN(10,'Китай 2040'!B11+'Китай 2040'!D11+('Китай 2040'!C11+'Китай 2040'!F11+'Китай 2040'!G11)+(0.35*LN(1+0.6*('Ход 2040'!B17*(1+'Эффекты технологий'!X$12)))*POWER(MAX(0,1-'Китай 2040'!I11/10),0.7))))</f>
        <v>10</v>
      </c>
      <c r="C11" s="3">
        <f>MIN(1,(MIN(1,'Китай 2040'!C11+'Китай 2040'!F11+(0.08*LN(1+0.5*('Ход 2040'!C17*(1+'Эффекты технологий'!X$12)))*MAX(0,1-('Китай 2040'!C11+'Китай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f>
        <v>0.27183964390750776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10</v>
      </c>
      <c r="J11" s="10">
        <f>SUMIFS('Эффекты технологий'!$Y$25:$Y$240,'Эффекты технологий'!$C$25:$C$240,$A11,'Эффекты технологий'!$D$25:$D$240,"Значение")</f>
        <v>0</v>
      </c>
      <c r="K11" s="3" t="s">
        <v>267</v>
      </c>
      <c r="L11" s="3">
        <f>MAX(1,MIN(10,'Китай 2040'!L11+'Китай 2040'!N11+('Китай 2040'!M11+'Китай 2040'!P11+'Китай 2040'!Q11)))</f>
        <v>10</v>
      </c>
      <c r="M11" s="3">
        <f>MIN(1,(MIN(1,'Китай 2040'!M11+'Китай 2040'!P11+(0.1*LN(1+0.5*('Ход 2040'!H13*(1+'Эффекты технологий'!X$10)))*POWER(MAX(0,1-'Китай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f>
        <v>0.25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технологий'!$Y$25:$Y$240,'Эффекты технологий'!$C$25:$C$240,$K11,'Эффекты технологий'!$D$25:$D$240,"Значение")</f>
        <v>0</v>
      </c>
      <c r="U11" s="3" t="s">
        <v>534</v>
      </c>
      <c r="V11" s="7">
        <f>'Китай 2040'!V11</f>
        <v>3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3" t="s">
        <v>535</v>
      </c>
    </row>
    <row r="12" spans="1:24" ht="71.25">
      <c r="A12" s="3" t="s">
        <v>268</v>
      </c>
      <c r="B12" s="3">
        <f>MAX(1,MIN(10,'Китай 2040'!B12+'Китай 2040'!D12+('Китай 2040'!C12+'Китай 2040'!F12+'Китай 2040'!G12)+(0.35*LN(1+0.6*('Ход 2040'!B18*(1+'Эффекты технологий'!X$12)))*POWER(MAX(0,1-'Китай 2040'!I12/10),0.7))))</f>
        <v>9.7500000000000107</v>
      </c>
      <c r="C12" s="3">
        <f>MIN(1,(MIN(1,'Китай 2040'!C12+'Китай 2040'!F12+(0.08*LN(1+0.5*('Ход 2040'!C18*(1+'Эффекты технологий'!X$12)))*MAX(0,1-('Китай 2040'!C12+'Китай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9.7500000000000107</v>
      </c>
      <c r="J12" s="10">
        <f>SUMIFS('Эффекты технологий'!$Y$25:$Y$240,'Эффекты технологий'!$C$25:$C$240,$A12,'Эффекты технологий'!$D$25:$D$240,"Значение")</f>
        <v>0</v>
      </c>
      <c r="K12" s="3" t="s">
        <v>269</v>
      </c>
      <c r="L12" s="3">
        <f>MAX(1,MIN(10,'Китай 2040'!L12+'Китай 2040'!N12+('Китай 2040'!M12+'Китай 2040'!P12+'Китай 2040'!Q12)))</f>
        <v>10</v>
      </c>
      <c r="M12" s="3">
        <f>MIN(1,(MIN(1,'Китай 2040'!M12+'Китай 2040'!P12+(0.1*LN(1+0.5*('Ход 2040'!H14*(1+'Эффекты технологий'!X$10)))*POWER(MAX(0,1-'Китай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f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технологий'!$Y$25:$Y$240,'Эффекты технологий'!$C$25:$C$240,$K12,'Эффекты технологий'!$D$25:$D$240,"Значение")</f>
        <v>0</v>
      </c>
      <c r="U12" s="3" t="s">
        <v>536</v>
      </c>
      <c r="V12" s="7">
        <f>'Китай 2040'!V12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MAX(1,MIN(10,'Китай 2040'!B13+'Китай 2040'!D13+('Китай 2040'!C13+'Китай 2040'!F13+'Китай 2040'!G13)+(0.35*LN(1+0.6*('Ход 2040'!B19*(1+'Эффекты технологий'!X$12)))*POWER(MAX(0,1-'Китай 2040'!I13/10),0.7))))</f>
        <v>10</v>
      </c>
      <c r="C13" s="3">
        <f>MIN(1,(MIN(1,'Китай 2040'!C13+'Китай 2040'!F13+(0.08*LN(1+0.5*('Ход 2040'!C19*(1+'Эффекты технологий'!X$12)))*MAX(0,1-('Китай 2040'!C13+'Китай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технологий'!$Y$25:$Y$240,'Эффекты технологий'!$C$25:$C$240,$A13,'Эффекты технологий'!$D$25:$D$240,"Значение")</f>
        <v>0</v>
      </c>
      <c r="K13" s="3" t="s">
        <v>271</v>
      </c>
      <c r="L13" s="3">
        <f>MAX(1,MIN(10,'Китай 2040'!L13+'Китай 2040'!N13+('Китай 2040'!M13+'Китай 2040'!P13+'Китай 2040'!Q13)))</f>
        <v>10</v>
      </c>
      <c r="M13" s="3">
        <f>MIN(1,(MIN(1,'Китай 2040'!M13+'Китай 2040'!P13+(0.1*LN(1+0.5*('Ход 2040'!H15*(1+'Эффекты технологий'!X$10)))*POWER(MAX(0,1-'Китай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технологий'!$Y$25:$Y$240,'Эффекты технологий'!$C$25:$C$240,$K13,'Эффекты технологий'!$D$25:$D$240,"Значение")</f>
        <v>0</v>
      </c>
      <c r="U13" s="3" t="s">
        <v>538</v>
      </c>
      <c r="V13" s="7">
        <f>'Китай 2040'!V13</f>
        <v>-0.4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MAX(1,MIN(10,'Китай 2040'!B14+'Китай 2040'!D14+('Китай 2040'!C14+'Китай 2040'!F14+'Китай 2040'!G14)+(0.35*LN(1+0.6*('Ход 2040'!B20*(1+'Эффекты технологий'!X$12)))*POWER(MAX(0,1-'Китай 2040'!I14/10),0.7))))</f>
        <v>10</v>
      </c>
      <c r="C14" s="3">
        <f>MIN(1,(MIN(1,'Китай 2040'!C14+'Китай 2040'!F14+(0.08*LN(1+0.5*('Ход 2040'!C20*(1+'Эффекты технологий'!X$12)))*MAX(0,1-('Китай 2040'!C14+'Китай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f>
        <v>0.55550739200312838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технологий'!$Y$25:$Y$240,'Эффекты технологий'!$C$25:$C$240,$A14,'Эффекты технологий'!$D$25:$D$240,"Значение")</f>
        <v>0.2</v>
      </c>
      <c r="K14" s="3" t="s">
        <v>273</v>
      </c>
      <c r="L14" s="3">
        <f>MAX(1,MIN(10,'Китай 2040'!L14+'Китай 2040'!N14+('Китай 2040'!M14+'Китай 2040'!P14+'Китай 2040'!Q14)))</f>
        <v>10</v>
      </c>
      <c r="M14" s="3">
        <f>MIN(1,(MIN(1,'Китай 2040'!M14+'Китай 2040'!P14+(0.1*LN(1+0.5*('Ход 2040'!H16*(1+'Эффекты технологий'!X$10)))*POWER(MAX(0,1-'Китай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f>
        <v>0.36077968705242419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технологий'!$Y$25:$Y$240,'Эффекты технологий'!$C$25:$C$240,$K14,'Эффекты технологий'!$D$25:$D$240,"Значение")</f>
        <v>0</v>
      </c>
      <c r="U14" s="3" t="s">
        <v>540</v>
      </c>
      <c r="V14" s="7">
        <f>'Китай 2040'!V14</f>
        <v>0.5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MAX(1,MIN(10,'Китай 2040'!B15+'Китай 2040'!D15+('Китай 2040'!C15+'Китай 2040'!F15+'Китай 2040'!G15)+(0.35*LN(1+0.6*('Ход 2040'!B21*(1+'Эффекты технологий'!X$12)))*POWER(MAX(0,1-'Китай 2040'!I15/10),0.7))))</f>
        <v>10</v>
      </c>
      <c r="C15" s="3">
        <f>MIN(1,(MIN(1,'Китай 2040'!C15+'Китай 2040'!F15+(0.08*LN(1+0.5*('Ход 2040'!C21*(1+'Эффекты технологий'!X$12)))*MAX(0,1-('Китай 2040'!C15+'Китай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технологий'!$Y$25:$Y$240,'Эффекты технологий'!$C$25:$C$240,$A15,'Эффекты технологий'!$D$25:$D$240,"Значение")</f>
        <v>0</v>
      </c>
      <c r="K15" s="3" t="s">
        <v>275</v>
      </c>
      <c r="L15" s="3">
        <f>MAX(1,MIN(10,'Китай 2040'!L15+'Китай 2040'!N15+('Китай 2040'!M15+'Китай 2040'!P15+'Китай 2040'!Q15)))</f>
        <v>10</v>
      </c>
      <c r="M15" s="3">
        <f>MIN(1,(MIN(1,'Китай 2040'!M15+'Китай 2040'!P15+(0.1*LN(1+0.5*('Ход 2040'!H17*(1+'Эффекты технологий'!X$10)))*POWER(MAX(0,1-'Китай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f>
        <v>0.27408338119591491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технологий'!$Y$25:$Y$240,'Эффекты технологий'!$C$25:$C$240,$K15,'Эффекты технологий'!$D$25:$D$240,"Значение")</f>
        <v>0</v>
      </c>
      <c r="U15" s="3" t="s">
        <v>542</v>
      </c>
      <c r="V15" s="7">
        <f>'Китай 2040'!V15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MAX(1,MIN(10,'Китай 2040'!B16+'Китай 2040'!D16+('Китай 2040'!C16+'Китай 2040'!F16+'Китай 2040'!G16)+(0.35*LN(1+0.6*('Ход 2040'!B22*(1+'Эффекты технологий'!X$12)))*POWER(MAX(0,1-'Китай 2040'!I16/10),0.7))))</f>
        <v>10</v>
      </c>
      <c r="C16" s="3">
        <f>MIN(1,(MIN(1,'Китай 2040'!C16+'Китай 2040'!F16+(0.08*LN(1+0.5*('Ход 2040'!C22*(1+'Эффекты технологий'!X$12)))*MAX(0,1-('Китай 2040'!C16+'Китай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технологий'!$Y$25:$Y$240,'Эффекты технологий'!$C$25:$C$240,$A16,'Эффекты технологий'!$D$25:$D$240,"Значение")</f>
        <v>0</v>
      </c>
      <c r="K16" s="3" t="s">
        <v>277</v>
      </c>
      <c r="L16" s="3">
        <f>MAX(1,MIN(10,'Китай 2040'!L16+'Китай 2040'!N16+('Китай 2040'!M16+'Китай 2040'!P16+'Китай 2040'!Q16)))</f>
        <v>10</v>
      </c>
      <c r="M16" s="3">
        <f>MIN(1,(MIN(1,'Китай 2040'!M16+'Китай 2040'!P16+(0.1*LN(1+0.5*('Ход 2040'!H18*(1+'Эффекты технологий'!X$10)))*POWER(MAX(0,1-'Китай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f>
        <v>0.39394256991372284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технологий'!$Y$25:$Y$240,'Эффекты технологий'!$C$25:$C$240,$K16,'Эффекты технологий'!$D$25:$D$240,"Значение")</f>
        <v>0</v>
      </c>
      <c r="U16" s="3" t="s">
        <v>544</v>
      </c>
      <c r="V16" s="7">
        <f>'Китай 2040'!V16</f>
        <v>1.4</v>
      </c>
      <c r="W16" s="3" t="str">
        <f t="shared" si="2"/>
        <v>Партнёрство</v>
      </c>
      <c r="X16" s="3" t="s">
        <v>545</v>
      </c>
    </row>
    <row r="17" spans="1:24" ht="57">
      <c r="A17" s="3" t="s">
        <v>278</v>
      </c>
      <c r="B17" s="3">
        <f>MAX(1,MIN(10,'Китай 2040'!B17+'Китай 2040'!D17+('Китай 2040'!C17+'Китай 2040'!F17+'Китай 2040'!G17)+(0.35*LN(1+0.6*('Ход 2040'!B23*(1+'Эффекты технологий'!X$12)))*POWER(MAX(0,1-'Китай 2040'!I17/10),0.7))))</f>
        <v>10</v>
      </c>
      <c r="C17" s="3">
        <f>MIN(1,(MIN(1,'Китай 2040'!C17+'Китай 2040'!F17+(0.08*LN(1+0.5*('Ход 2040'!C23*(1+'Эффекты технологий'!X$12)))*MAX(0,1-('Китай 2040'!C17+'Китай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f>
        <v>0.05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технологий'!$Y$25:$Y$240,'Эффекты технологий'!$C$25:$C$240,$A17,'Эффекты технологий'!$D$25:$D$240,"Значение")</f>
        <v>0</v>
      </c>
      <c r="K17" s="3" t="s">
        <v>279</v>
      </c>
      <c r="L17" s="3">
        <f>MAX(1,MIN(10,'Китай 2040'!L17+'Китай 2040'!N17+('Китай 2040'!M17+'Китай 2040'!P17+'Китай 2040'!Q17)))</f>
        <v>10</v>
      </c>
      <c r="M17" s="3">
        <f>MIN(1,(MIN(1,'Китай 2040'!M17+'Китай 2040'!P17+(0.1*LN(1+0.5*('Ход 2040'!H19*(1+'Эффекты технологий'!X$10)))*POWER(MAX(0,1-'Китай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f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технологий'!$Y$25:$Y$240,'Эффекты технологий'!$C$25:$C$240,$K17,'Эффекты технологий'!$D$25:$D$240,"Значение")</f>
        <v>0</v>
      </c>
      <c r="U17" s="3" t="s">
        <v>546</v>
      </c>
      <c r="V17" s="7">
        <f>'Китай 2040'!V17</f>
        <v>-0.8</v>
      </c>
      <c r="W17" s="3" t="str">
        <f t="shared" si="2"/>
        <v>Напряжённые отношения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MAX(1,MIN(10,'Китай 2040'!L18+'Китай 2040'!N18+('Китай 2040'!M18+'Китай 2040'!P18+'Китай 2040'!Q18)))</f>
        <v>10</v>
      </c>
      <c r="M18" s="3">
        <f>MIN(1,(MIN(1,'Китай 2040'!M18+'Китай 2040'!P18+(0.1*LN(1+0.5*('Ход 2040'!H20*(1+'Эффекты технологий'!X$10)))*POWER(MAX(0,1-'Китай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f>
        <v>0.36077968705242419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технологий'!$Y$25:$Y$240,'Эффекты технологий'!$C$25:$C$240,$K18,'Эффекты технологий'!$D$25:$D$240,"Значение")</f>
        <v>0</v>
      </c>
      <c r="U18" s="3" t="s">
        <v>548</v>
      </c>
      <c r="V18" s="7">
        <f>'Китай 2040'!V18</f>
        <v>0.8</v>
      </c>
      <c r="W18" s="3" t="str">
        <f t="shared" si="2"/>
        <v>Сотрудничество</v>
      </c>
      <c r="X18" s="3" t="s">
        <v>549</v>
      </c>
    </row>
    <row r="19" spans="1:24" ht="57">
      <c r="A19" s="3" t="s">
        <v>282</v>
      </c>
      <c r="B19" s="3">
        <f>MAX(1,MIN(10,'Китай 2040'!B19+'Китай 2040'!D19+('Китай 2040'!C19+'Китай 2040'!F19+'Китай 2040'!G19)+(0.35*LN(1+0.6*'Ход 2040'!B25)*POWER(MAX(0,1-'Китай 2040'!I19/10),0.7))))</f>
        <v>10</v>
      </c>
      <c r="C19" s="3">
        <f>MIN(1,(MIN(1,'Китай 2040'!C19+'Китай 2040'!F19+(0.08*LN(1+0.5*'Ход 2040'!C25)*MAX(0,1-('Китай 2040'!C19+'Китай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технологий'!$Y$25:$Y$240,'Эффекты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'Китай 2040'!V19</f>
        <v>2.1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MAX(1,MIN(10,'Китай 2040'!B20+'Китай 2040'!D20+('Китай 2040'!C20+'Китай 2040'!F20+'Китай 2040'!G20)+(0.35*LN(1+0.6*'Ход 2040'!B26)*POWER(MAX(0,1-'Китай 2040'!I20/10),0.7))))</f>
        <v>10</v>
      </c>
      <c r="C20" s="3">
        <f>MIN(1,(MIN(1,'Китай 2040'!C20+'Китай 2040'!F20+(0.08*LN(1+0.5*'Ход 2040'!C26)*MAX(0,1-('Китай 2040'!C20+'Китай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f>
        <v>0.25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технологий'!$Y$25:$Y$240,'Эффекты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'Китай 2040'!V20</f>
        <v>2.8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MAX(1,MIN(10,'Китай 2040'!B21+'Китай 2040'!D21+('Китай 2040'!C21+'Китай 2040'!F21+'Китай 2040'!G21)+(0.35*LN(1+0.6*'Ход 2040'!B27)*POWER(MAX(0,1-'Китай 2040'!I21/10),0.7))))</f>
        <v>10</v>
      </c>
      <c r="C21" s="3">
        <f>MIN(1,(MIN(1,'Китай 2040'!C21+'Китай 2040'!F21+(0.08*LN(1+0.5*'Ход 2040'!C27)*MAX(0,1-('Китай 2040'!C21+'Китай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технологий'!$Y$25:$Y$240,'Эффекты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'Китай 2040'!V21</f>
        <v>3</v>
      </c>
      <c r="W21" s="3" t="str">
        <f t="shared" si="2"/>
        <v>Стратегическое партнёрство</v>
      </c>
      <c r="X21" s="3" t="s">
        <v>555</v>
      </c>
    </row>
    <row r="22" spans="1:24" ht="57">
      <c r="A22" s="3" t="s">
        <v>285</v>
      </c>
      <c r="B22" s="3">
        <f>MAX(1,MIN(10,'Китай 2040'!B22+'Китай 2040'!D22+('Китай 2040'!C22+'Китай 2040'!F22+'Китай 2040'!G22)+(0.35*LN(1+0.6*'Ход 2040'!B28)*POWER(MAX(0,1-'Китай 2040'!I22/10),0.7))))</f>
        <v>10</v>
      </c>
      <c r="C22" s="3">
        <f>MIN(1,(MIN(1,'Китай 2040'!C22+'Китай 2040'!F22+(0.08*LN(1+0.5*'Ход 2040'!C28)*MAX(0,1-('Китай 2040'!C22+'Китай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технологий'!$Y$25:$Y$240,'Эффекты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'Китай 2040'!V22</f>
        <v>0.3</v>
      </c>
      <c r="W22" s="3" t="str">
        <f t="shared" si="2"/>
        <v>Сотрудничество</v>
      </c>
      <c r="X22" s="3" t="s">
        <v>557</v>
      </c>
    </row>
    <row r="23" spans="1:24" ht="57">
      <c r="A23" s="3" t="s">
        <v>286</v>
      </c>
      <c r="B23" s="3">
        <f>MAX(1,MIN(10,'Китай 2040'!B23+'Китай 2040'!D23+('Китай 2040'!C23+'Китай 2040'!F23+'Китай 2040'!G23)+(0.35*LN(1+0.6*'Ход 2040'!B29)*POWER(MAX(0,1-'Китай 2040'!I23/10),0.7))))</f>
        <v>10</v>
      </c>
      <c r="C23" s="3">
        <f>MIN(1,(MIN(1,'Китай 2040'!C23+'Китай 2040'!F23+(0.08*LN(1+0.5*'Ход 2040'!C29)*MAX(0,1-('Китай 2040'!C23+'Китай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технологий'!$Y$25:$Y$240,'Эффекты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'Китай 2040'!V23</f>
        <v>3</v>
      </c>
      <c r="W23" s="3" t="str">
        <f t="shared" si="2"/>
        <v>Стратегическое партнёрство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'Китай 2040'!V24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MAX(1,MIN(10,'Китай 2040'!B25+'Китай 2040'!D25+('Китай 2040'!C25+'Китай 2040'!F25+'Китай 2040'!G25)+(0.35*LN(1+0.6*'Ход 2040'!B31)*POWER(MAX(0,1-'Китай 2040'!I25/10),0.7))))</f>
        <v>10</v>
      </c>
      <c r="C25" s="3">
        <f>MIN(1,(MIN(1,'Китай 2040'!C25+'Китай 2040'!F25+(0.08*LN(1+0.5*'Ход 2040'!C31)*MAX(0,1-('Китай 2040'!C25+'Китай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f>
        <v>0.05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технологий'!$Y$25:$Y$240,'Эффекты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'Китай 2040'!V25</f>
        <v>2.8</v>
      </c>
      <c r="W25" s="3" t="str">
        <f t="shared" si="2"/>
        <v>Стратегическое партнёрство</v>
      </c>
      <c r="X25" s="3" t="s">
        <v>563</v>
      </c>
    </row>
    <row r="26" spans="1:24" ht="42.75">
      <c r="A26" s="3" t="s">
        <v>289</v>
      </c>
      <c r="B26" s="3">
        <f>MAX(1,MIN(10,'Китай 2040'!B26+'Китай 2040'!D26+('Китай 2040'!C26+'Китай 2040'!F26+'Китай 2040'!G26)+(0.35*LN(1+0.6*'Ход 2040'!B32)*POWER(MAX(0,1-'Китай 2040'!I26/10),0.7))))</f>
        <v>10</v>
      </c>
      <c r="C26" s="3">
        <f>MIN(1,(MIN(1,'Китай 2040'!C26+'Китай 2040'!F26+(0.08*LN(1+0.5*'Ход 2040'!C32)*MAX(0,1-('Китай 2040'!C26+'Китай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технологий'!$Y$25:$Y$240,'Эффекты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'Китай 2040'!V26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MAX(1,MIN(10,'Китай 2040'!B27+'Китай 2040'!D27+('Китай 2040'!C27+'Китай 2040'!F27+'Китай 2040'!G27)+(0.35*LN(1+0.6*'Ход 2040'!B33)*POWER(MAX(0,1-'Китай 2040'!I27/10),0.7))))</f>
        <v>10</v>
      </c>
      <c r="C27" s="3">
        <f>MIN(1,(MIN(1,'Китай 2040'!C27+'Китай 2040'!F27+(0.08*LN(1+0.5*'Ход 2040'!C33)*MAX(0,1-('Китай 2040'!C27+'Китай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технологий'!$Y$25:$Y$240,'Эффекты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MAX(1,MIN(10,'Китай 2040'!B28+'Китай 2040'!D28+('Китай 2040'!C28+'Китай 2040'!F28+'Китай 2040'!G28)+(0.35*LN(1+0.6*'Ход 2040'!B34)*POWER(MAX(0,1-'Китай 2040'!I28/10),0.7))))</f>
        <v>10</v>
      </c>
      <c r="C28" s="3">
        <f>MIN(1,(MIN(1,'Китай 2040'!C28+'Китай 2040'!F28+(0.08*LN(1+0.5*'Ход 2040'!C34)*MAX(0,1-('Китай 2040'!C28+'Китай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технологий'!$Y$25:$Y$240,'Эффекты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MAX(1,MIN(10,'Китай 2040'!B29+'Китай 2040'!D29+('Китай 2040'!C29+'Китай 2040'!F29+'Китай 2040'!G29)+(0.35*LN(1+0.6*'Ход 2040'!B35)*POWER(MAX(0,1-'Китай 2040'!I29/10),0.7))))</f>
        <v>10</v>
      </c>
      <c r="C29" s="3">
        <f>MIN(1,(MIN(1,'Китай 2040'!C29+'Китай 2040'!F29+(0.08*LN(1+0.5*'Ход 2040'!C35)*MAX(0,1-('Китай 2040'!C29+'Китай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технологий'!$Y$25:$Y$240,'Эффекты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MAX(1,MIN(10,'Китай 2040'!B30+'Китай 2040'!D30+('Китай 2040'!C30+'Китай 2040'!F30+'Китай 2040'!G30)+(0.35*LN(1+0.6*'Ход 2040'!B36)*POWER(MAX(0,1-'Китай 2040'!I30/10),0.7))))</f>
        <v>10</v>
      </c>
      <c r="C30" s="3">
        <f>MIN(1,(MIN(1,'Китай 2040'!C30+'Китай 2040'!F30+(0.08*LN(1+0.5*'Ход 2040'!C36)*MAX(0,1-('Китай 2040'!C30+'Китай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технологий'!$Y$25:$Y$240,'Эффекты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MAX(1,MIN(10,'Китай 2040'!B31+'Китай 2040'!D31+('Китай 2040'!C31+'Китай 2040'!F31+'Китай 2040'!G31)+(0.35*LN(1+0.6*'Ход 2040'!B37)*POWER(MAX(0,1-'Китай 2040'!I31/10),0.7))))</f>
        <v>10</v>
      </c>
      <c r="C31" s="3">
        <f>MIN(1,(MIN(1,'Китай 2040'!C31+'Китай 2040'!F31+(0.08*LN(1+0.5*'Ход 2040'!C37)*MAX(0,1-('Китай 2040'!C31+'Китай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f>
        <v>0.27264845964148265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10</v>
      </c>
      <c r="J31" s="10">
        <f>SUMIFS('Эффекты технологий'!$Y$25:$Y$240,'Эффекты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MAX(1,MIN(10,'Китай 2040'!B32+'Китай 2040'!D32+('Китай 2040'!C32+'Китай 2040'!F32+'Китай 2040'!G32)+(0.35*LN(1+0.6*'Ход 2040'!B38)*POWER(MAX(0,1-'Китай 2040'!I32/10),0.7))))</f>
        <v>10</v>
      </c>
      <c r="C32" s="3">
        <f>MIN(1,(MIN(1,'Китай 2040'!C32+'Китай 2040'!F32+(0.08*LN(1+0.5*'Ход 2040'!C38)*MAX(0,1-('Китай 2040'!C32+'Китай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технологий'!$Y$25:$Y$240,'Эффекты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MAX(1,MIN(10,'Китай 2040'!B34+'Китай 2040'!D34+('Китай 2040'!C34+'Китай 2040'!F34+'Китай 2040'!G34)+(0.35*LN(1+0.6*'Ход 2040'!B40)*POWER(MAX(0,1-'Китай 2040'!I34/10),0.7))))</f>
        <v>10</v>
      </c>
      <c r="C34" s="3">
        <f>MIN(1,(MIN(1,'Китай 2040'!C34+'Китай 2040'!F34+(0.08*LN(1+0.5*'Ход 2040'!C40)*MAX(0,1-('Китай 2040'!C34+'Китай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технологий'!$Y$25:$Y$240,'Эффекты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MAX(1,MIN(10,'Китай 2040'!B35+'Китай 2040'!D35+('Китай 2040'!C35+'Китай 2040'!F35+'Китай 2040'!G35)+(0.35*LN(1+0.6*'Ход 2040'!B41)*POWER(MAX(0,1-'Китай 2040'!I35/10),0.7))))</f>
        <v>10</v>
      </c>
      <c r="C35" s="3">
        <f>MIN(1,(MIN(1,'Китай 2040'!C35+'Китай 2040'!F35+(0.08*LN(1+0.5*'Ход 2040'!C41)*MAX(0,1-('Китай 2040'!C35+'Китай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технологий'!$Y$25:$Y$240,'Эффекты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MAX(1,MIN(10,'Китай 2040'!B36+'Китай 2040'!D36+('Китай 2040'!C36+'Китай 2040'!F36+'Китай 2040'!G36)+(0.35*LN(1+0.6*'Ход 2040'!B42)*POWER(MAX(0,1-'Китай 2040'!I36/10),0.7))))</f>
        <v>10</v>
      </c>
      <c r="C36" s="3">
        <f>MIN(1,(MIN(1,'Китай 2040'!C36+'Китай 2040'!F36+(0.08*LN(1+0.5*'Ход 2040'!C42)*MAX(0,1-('Китай 2040'!C36+'Китай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технологий'!$Y$25:$Y$240,'Эффекты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MAX(1,MIN(10,'Китай 2040'!B37+'Китай 2040'!D37+('Китай 2040'!C37+'Китай 2040'!F37+'Китай 2040'!G37)+(0.35*LN(1+0.6*'Ход 2040'!B43)*POWER(MAX(0,1-'Китай 2040'!I37/10),0.7))))</f>
        <v>10</v>
      </c>
      <c r="C37" s="3">
        <f>MIN(1,(MIN(1,'Китай 2040'!C37+'Китай 2040'!F37+(0.08*LN(1+0.5*'Ход 2040'!C43)*MAX(0,1-('Китай 2040'!C37+'Китай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технологий'!$Y$25:$Y$240,'Эффекты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MAX(1,MIN(10,'Китай 2040'!B38+'Китай 2040'!D38+('Китай 2040'!C38+'Китай 2040'!F38+'Китай 2040'!G38)+(0.35*LN(1+0.6*'Ход 2040'!B44)*POWER(MAX(0,1-'Китай 2040'!I38/10),0.7))))</f>
        <v>10</v>
      </c>
      <c r="C38" s="3">
        <f>MIN(1,(MIN(1,'Китай 2040'!C38+'Китай 2040'!F38+(0.08*LN(1+0.5*'Ход 2040'!C44)*MAX(0,1-('Китай 2040'!C38+'Китай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f>
        <v>0.1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технологий'!$Y$25:$Y$240,'Эффекты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MAX(1,MIN(10,'Китай 2040'!B39+'Китай 2040'!D39+('Китай 2040'!C39+'Китай 2040'!F39+'Китай 2040'!G39)+(0.35*LN(1+0.6*'Ход 2040'!B45)*POWER(MAX(0,1-'Китай 2040'!I39/10),0.7))))</f>
        <v>10</v>
      </c>
      <c r="C39" s="3">
        <f>MIN(1,(MIN(1,'Китай 2040'!C39+'Китай 2040'!F39+(0.08*LN(1+0.5*'Ход 2040'!C45)*MAX(0,1-('Китай 2040'!C39+'Китай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технологий'!$Y$25:$Y$240,'Эффекты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MAX(1,MIN(10,'Китай 2040'!B40+'Китай 2040'!D40+('Китай 2040'!C40+'Китай 2040'!F40+'Китай 2040'!G40)+(0.35*LN(1+0.6*'Ход 2040'!B46)*POWER(MAX(0,1-'Китай 2040'!I40/10),0.7))))</f>
        <v>10</v>
      </c>
      <c r="C40" s="3">
        <f>MIN(1,(MIN(1,'Китай 2040'!C40+'Китай 2040'!F40+(0.08*LN(1+0.5*'Ход 2040'!C46)*MAX(0,1-('Китай 2040'!C40+'Китай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технологий'!$Y$25:$Y$240,'Эффекты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MAX(1,MIN(10,'Китай 2040'!B41+'Китай 2040'!D41+('Китай 2040'!C41+'Китай 2040'!F41+'Китай 2040'!G41)+(0.35*LN(1+0.6*'Ход 2040'!B47)*POWER(MAX(0,1-'Китай 2040'!I41/10),0.7))))</f>
        <v>10</v>
      </c>
      <c r="C41" s="3">
        <f>MIN(1,(MIN(1,'Китай 2040'!C41+'Китай 2040'!F41+(0.08*LN(1+0.5*'Ход 2040'!C47)*MAX(0,1-('Китай 2040'!C41+'Китай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технологий'!$Y$25:$Y$240,'Эффекты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MAX(1,MIN(10,'Китай 2040'!B42+'Китай 2040'!D42+('Китай 2040'!C42+'Китай 2040'!F42+'Китай 2040'!G42)+(0.35*LN(1+0.6*'Ход 2040'!B48)*POWER(MAX(0,1-'Китай 2040'!I42/10),0.7))))</f>
        <v>10</v>
      </c>
      <c r="C42" s="3">
        <f>MIN(1,(MIN(1,'Китай 2040'!C42+'Китай 2040'!F42+(0.08*LN(1+0.5*'Ход 2040'!C48)*MAX(0,1-('Китай 2040'!C42+'Китай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технологий'!$Y$25:$Y$240,'Эффекты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MAX(1,MIN(10,'Китай 2040'!B44+'Китай 2040'!D44+('Китай 2040'!C44+'Китай 2040'!F44+'Китай 2040'!G44)+(0.35*LN(1+0.6*'Ход 2040'!B50)*POWER(MAX(0,1-'Китай 2040'!I44/10),0.7))))</f>
        <v>10</v>
      </c>
      <c r="C44" s="3">
        <f>MIN(1,(MIN(1,'Китай 2040'!C44+'Китай 2040'!F44+(0.08*LN(1+0.5*'Ход 2040'!C50)*MAX(0,1-('Китай 2040'!C44+'Китай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f>
        <v>0.28017682998370358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технологий'!$Y$25:$Y$240,'Эффекты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MAX(1,MIN(10,'Китай 2040'!B45+'Китай 2040'!D45+('Китай 2040'!C45+'Китай 2040'!F45+'Китай 2040'!G45)+(0.35*LN(1+0.6*'Ход 2040'!B51)*POWER(MAX(0,1-'Китай 2040'!I45/10),0.7))))</f>
        <v>10</v>
      </c>
      <c r="C45" s="3">
        <f>MIN(1,(MIN(1,'Китай 2040'!C45+'Китай 2040'!F45+(0.08*LN(1+0.5*'Ход 2040'!C51)*MAX(0,1-('Китай 2040'!C45+'Китай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технологий'!$Y$25:$Y$240,'Эффекты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MAX(1,MIN(10,'Китай 2040'!B46+'Китай 2040'!D46+('Китай 2040'!C46+'Китай 2040'!F46+'Китай 2040'!G46)+(0.35*LN(1+0.6*'Ход 2040'!B52)*POWER(MAX(0,1-'Китай 2040'!I46/10),0.7))))</f>
        <v>10</v>
      </c>
      <c r="C46" s="3">
        <f>MIN(1,(MIN(1,'Китай 2040'!C46+'Китай 2040'!F46+(0.08*LN(1+0.5*'Ход 2040'!C52)*MAX(0,1-('Китай 2040'!C46+'Китай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технологий'!$Y$25:$Y$240,'Эффекты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MAX(1,MIN(10,'Китай 2040'!B47+'Китай 2040'!D47+('Китай 2040'!C47+'Китай 2040'!F47+'Китай 2040'!G47)+(0.35*LN(1+0.6*'Ход 2040'!B53)*POWER(MAX(0,1-'Китай 2040'!I47/10),0.7))))</f>
        <v>6.7074476660889619</v>
      </c>
      <c r="C47" s="3">
        <f>MIN(1,(MIN(1,'Китай 2040'!C47+'Китай 2040'!F47+(0.08*LN(1+0.5*'Ход 2040'!C53)*MAX(0,1-('Китай 2040'!C47+'Китай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f>
        <v>5.767483329206885E-2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6.7074476660889619</v>
      </c>
      <c r="J47" s="10">
        <f>SUMIFS('Эффекты технологий'!$Y$25:$Y$240,'Эффекты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MAX(1,MIN(10,'Китай 2040'!B48+'Китай 2040'!D48+('Китай 2040'!C48+'Китай 2040'!F48+'Китай 2040'!G48)+(0.35*LN(1+0.6*'Ход 2040'!B54)*POWER(MAX(0,1-'Китай 2040'!I48/10),0.7))))</f>
        <v>9.2500000000000107</v>
      </c>
      <c r="C48" s="3">
        <f>MIN(1,(MIN(1,'Китай 2040'!C48+'Китай 2040'!F48+(0.08*LN(1+0.5*'Ход 2040'!C54)*MAX(0,1-('Китай 2040'!C48+'Китай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9.2500000000000107</v>
      </c>
      <c r="J48" s="10">
        <f>SUMIFS('Эффекты технологий'!$Y$25:$Y$240,'Эффекты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MAX(1,MIN(10,'Китай 2040'!B49+'Китай 2040'!D49+('Китай 2040'!C49+'Китай 2040'!F49+'Китай 2040'!G49)+(0.35*LN(1+0.6*'Ход 2040'!B55)*POWER(MAX(0,1-'Китай 2040'!I49/10),0.7))))</f>
        <v>10</v>
      </c>
      <c r="C49" s="3">
        <f>MIN(1,(MIN(1,'Китай 2040'!C49+'Китай 2040'!F49+(0.08*LN(1+0.5*'Ход 2040'!C55)*MAX(0,1-('Китай 2040'!C49+'Китай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технологий'!$Y$25:$Y$240,'Эффекты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MAX(1,MIN(10,'Китай 2040'!B50+'Китай 2040'!D50+('Китай 2040'!C50+'Китай 2040'!F50+'Китай 2040'!G50)+(0.35*LN(1+0.6*'Ход 2040'!B56)*POWER(MAX(0,1-'Китай 2040'!I50/10),0.7))))</f>
        <v>10</v>
      </c>
      <c r="C50" s="3">
        <f>MIN(1,(MIN(1,'Китай 2040'!C50+'Китай 2040'!F50+(0.08*LN(1+0.5*'Ход 2040'!C56)*MAX(0,1-('Китай 2040'!C50+'Китай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технологий'!$Y$25:$Y$240,'Эффекты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MAX(1,MIN(10,'Китай 2040'!B51+'Китай 2040'!D51+('Китай 2040'!C51+'Китай 2040'!F51+'Китай 2040'!G51)+(0.35*LN(1+0.6*'Ход 2040'!B57)*POWER(MAX(0,1-'Китай 2040'!I51/10),0.7))))</f>
        <v>10</v>
      </c>
      <c r="C51" s="3">
        <f>MIN(1,(MIN(1,'Китай 2040'!C51+'Китай 2040'!F51+(0.08*LN(1+0.5*'Ход 2040'!C57)*MAX(0,1-('Китай 2040'!C51+'Китай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технологий'!$Y$25:$Y$240,'Эффекты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MAX(1,MIN(10,'Китай 2040'!B53+'Китай 2040'!D53+('Китай 2040'!C53+'Китай 2040'!F53+'Китай 2040'!G53)+(0.35*LN(1+0.6*'Ход 2040'!B59)*POWER(MAX(0,1-'Китай 2040'!I53/10),0.7))))</f>
        <v>10</v>
      </c>
      <c r="C53" s="3">
        <f>MIN(1,(MIN(1,'Китай 2040'!C53+'Китай 2040'!F53+(0.08*LN(1+0.5*'Ход 2040'!C59)*MAX(0,1-('Китай 2040'!C53+'Китай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технологий'!$Y$25:$Y$240,'Эффекты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MAX(1,MIN(10,'Китай 2040'!B54+'Китай 2040'!D54+('Китай 2040'!C54+'Китай 2040'!F54+'Китай 2040'!G54)+(0.35*LN(1+0.6*'Ход 2040'!B60)*POWER(MAX(0,1-'Китай 2040'!I54/10),0.7))))</f>
        <v>10</v>
      </c>
      <c r="C54" s="3">
        <f>MIN(1,(MIN(1,'Китай 2040'!C54+'Китай 2040'!F54+(0.08*LN(1+0.5*'Ход 2040'!C60)*MAX(0,1-('Китай 2040'!C54+'Китай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технологий'!$Y$25:$Y$240,'Эффекты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MAX(1,MIN(10,'Китай 2040'!B55+'Китай 2040'!D55+('Китай 2040'!C55+'Китай 2040'!F55+'Китай 2040'!G55)+(0.35*LN(1+0.6*'Ход 2040'!B61)*POWER(MAX(0,1-'Китай 2040'!I55/10),0.7))))</f>
        <v>10</v>
      </c>
      <c r="C55" s="3">
        <f>MIN(1,(MIN(1,'Китай 2040'!C55+'Китай 2040'!F55+(0.08*LN(1+0.5*'Ход 2040'!C61)*MAX(0,1-('Китай 2040'!C55+'Китай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10</v>
      </c>
      <c r="J55" s="10">
        <f>SUMIFS('Эффекты технологий'!$Y$25:$Y$240,'Эффекты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AA8455"/>
  </sheetPr>
  <dimension ref="A1:Y24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7" customWidth="1"/>
    <col min="2" max="2" width="39" customWidth="1"/>
    <col min="3" max="3" width="38" customWidth="1"/>
    <col min="4" max="4" width="18" customWidth="1"/>
    <col min="5" max="5" width="13" customWidth="1"/>
    <col min="6" max="6" width="14" customWidth="1"/>
    <col min="7" max="7" width="60" customWidth="1"/>
    <col min="8" max="8" width="3" customWidth="1"/>
    <col min="9" max="9" width="28" customWidth="1"/>
    <col min="10" max="25" width="12" customWidth="1"/>
  </cols>
  <sheetData>
    <row r="1" spans="1:25" ht="18">
      <c r="A1" s="14" t="s">
        <v>367</v>
      </c>
      <c r="B1" s="14"/>
      <c r="C1" s="14"/>
      <c r="D1" s="14"/>
      <c r="E1" s="14"/>
      <c r="F1" s="14"/>
      <c r="G1" s="14"/>
    </row>
    <row r="3" spans="1:25">
      <c r="A3" s="15" t="s">
        <v>368</v>
      </c>
      <c r="B3" s="15"/>
      <c r="C3" s="15"/>
      <c r="D3" s="15"/>
      <c r="E3" s="15"/>
      <c r="F3" s="15"/>
      <c r="G3" s="15"/>
    </row>
    <row r="4" spans="1:25">
      <c r="A4" s="15" t="s">
        <v>581</v>
      </c>
      <c r="B4" s="15"/>
      <c r="C4" s="15"/>
      <c r="D4" s="15"/>
      <c r="E4" s="15"/>
      <c r="F4" s="15"/>
      <c r="G4" s="15"/>
    </row>
    <row r="5" spans="1:25" ht="15">
      <c r="I5" s="17" t="s">
        <v>369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>
      <c r="I6" s="16" t="s">
        <v>370</v>
      </c>
      <c r="J6" s="16">
        <v>2026</v>
      </c>
      <c r="K6" s="16">
        <v>2027</v>
      </c>
      <c r="L6" s="16">
        <v>2028</v>
      </c>
      <c r="M6" s="16">
        <v>2029</v>
      </c>
      <c r="N6" s="16">
        <v>2030</v>
      </c>
      <c r="O6" s="16">
        <v>2031</v>
      </c>
      <c r="P6" s="16">
        <v>2032</v>
      </c>
      <c r="Q6" s="16">
        <v>2033</v>
      </c>
      <c r="R6" s="16">
        <v>2034</v>
      </c>
      <c r="S6" s="16">
        <v>2035</v>
      </c>
      <c r="T6" s="16">
        <v>2036</v>
      </c>
      <c r="U6" s="16">
        <v>2037</v>
      </c>
      <c r="V6" s="16">
        <v>2038</v>
      </c>
      <c r="W6" s="16">
        <v>2039</v>
      </c>
      <c r="X6" s="16">
        <v>2040</v>
      </c>
      <c r="Y6" s="16">
        <v>2041</v>
      </c>
    </row>
    <row r="7" spans="1:25">
      <c r="I7" t="s">
        <v>371</v>
      </c>
      <c r="J7" s="22">
        <f t="shared" ref="J7:Y18" si="0">SUMIFS(J$25:J$240,$C$25:$C$240,$I7,$D$25:$D$240,"Модификатор")</f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</row>
    <row r="8" spans="1:25">
      <c r="I8" t="s">
        <v>372</v>
      </c>
      <c r="J8" s="22">
        <f t="shared" si="0"/>
        <v>0</v>
      </c>
      <c r="K8" s="22">
        <f t="shared" si="0"/>
        <v>0</v>
      </c>
      <c r="L8" s="22">
        <f t="shared" si="0"/>
        <v>0</v>
      </c>
      <c r="M8" s="22">
        <f t="shared" si="0"/>
        <v>0</v>
      </c>
      <c r="N8" s="22">
        <f t="shared" si="0"/>
        <v>0</v>
      </c>
      <c r="O8" s="22">
        <f t="shared" si="0"/>
        <v>0</v>
      </c>
      <c r="P8" s="22">
        <f t="shared" si="0"/>
        <v>0</v>
      </c>
      <c r="Q8" s="22">
        <f t="shared" si="0"/>
        <v>0</v>
      </c>
      <c r="R8" s="22">
        <f t="shared" si="0"/>
        <v>0</v>
      </c>
      <c r="S8" s="22">
        <f t="shared" si="0"/>
        <v>0</v>
      </c>
      <c r="T8" s="22">
        <f t="shared" si="0"/>
        <v>0</v>
      </c>
      <c r="U8" s="22">
        <f t="shared" si="0"/>
        <v>0</v>
      </c>
      <c r="V8" s="22">
        <f t="shared" si="0"/>
        <v>0</v>
      </c>
      <c r="W8" s="22">
        <f t="shared" si="0"/>
        <v>0</v>
      </c>
      <c r="X8" s="22">
        <f t="shared" si="0"/>
        <v>0</v>
      </c>
      <c r="Y8" s="22">
        <f t="shared" si="0"/>
        <v>0</v>
      </c>
    </row>
    <row r="9" spans="1:25">
      <c r="I9" t="s">
        <v>373</v>
      </c>
      <c r="J9" s="22">
        <f t="shared" si="0"/>
        <v>0</v>
      </c>
      <c r="K9" s="22">
        <f t="shared" si="0"/>
        <v>0</v>
      </c>
      <c r="L9" s="22">
        <f t="shared" si="0"/>
        <v>0</v>
      </c>
      <c r="M9" s="22">
        <f t="shared" si="0"/>
        <v>0</v>
      </c>
      <c r="N9" s="22">
        <f t="shared" si="0"/>
        <v>0</v>
      </c>
      <c r="O9" s="22">
        <f t="shared" si="0"/>
        <v>0</v>
      </c>
      <c r="P9" s="22">
        <f t="shared" si="0"/>
        <v>0</v>
      </c>
      <c r="Q9" s="22">
        <f t="shared" si="0"/>
        <v>0</v>
      </c>
      <c r="R9" s="22">
        <f t="shared" si="0"/>
        <v>0</v>
      </c>
      <c r="S9" s="22">
        <f t="shared" si="0"/>
        <v>0</v>
      </c>
      <c r="T9" s="22">
        <f t="shared" si="0"/>
        <v>0</v>
      </c>
      <c r="U9" s="22">
        <f t="shared" si="0"/>
        <v>0</v>
      </c>
      <c r="V9" s="22">
        <f t="shared" si="0"/>
        <v>0</v>
      </c>
      <c r="W9" s="22">
        <f t="shared" si="0"/>
        <v>0</v>
      </c>
      <c r="X9" s="22">
        <f t="shared" si="0"/>
        <v>0</v>
      </c>
      <c r="Y9" s="22">
        <f t="shared" si="0"/>
        <v>0</v>
      </c>
    </row>
    <row r="10" spans="1:25">
      <c r="I10" t="s">
        <v>374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22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22">
        <f t="shared" si="0"/>
        <v>0</v>
      </c>
      <c r="V10" s="22">
        <f t="shared" si="0"/>
        <v>0</v>
      </c>
      <c r="W10" s="22">
        <f t="shared" si="0"/>
        <v>0</v>
      </c>
      <c r="X10" s="22">
        <f t="shared" si="0"/>
        <v>0</v>
      </c>
      <c r="Y10" s="22">
        <f t="shared" si="0"/>
        <v>0</v>
      </c>
    </row>
    <row r="11" spans="1:25">
      <c r="I11" t="s">
        <v>375</v>
      </c>
      <c r="J11" s="22">
        <f t="shared" si="0"/>
        <v>0</v>
      </c>
      <c r="K11" s="22">
        <f t="shared" si="0"/>
        <v>0</v>
      </c>
      <c r="L11" s="22">
        <f t="shared" si="0"/>
        <v>0</v>
      </c>
      <c r="M11" s="22">
        <f t="shared" si="0"/>
        <v>0</v>
      </c>
      <c r="N11" s="22">
        <f t="shared" si="0"/>
        <v>0</v>
      </c>
      <c r="O11" s="22">
        <f t="shared" si="0"/>
        <v>0</v>
      </c>
      <c r="P11" s="22">
        <f t="shared" si="0"/>
        <v>0</v>
      </c>
      <c r="Q11" s="22">
        <f t="shared" si="0"/>
        <v>0</v>
      </c>
      <c r="R11" s="22">
        <f t="shared" si="0"/>
        <v>0</v>
      </c>
      <c r="S11" s="22">
        <f t="shared" si="0"/>
        <v>0</v>
      </c>
      <c r="T11" s="22">
        <f t="shared" si="0"/>
        <v>0</v>
      </c>
      <c r="U11" s="22">
        <f t="shared" si="0"/>
        <v>0</v>
      </c>
      <c r="V11" s="22">
        <f t="shared" si="0"/>
        <v>0</v>
      </c>
      <c r="W11" s="22">
        <f t="shared" si="0"/>
        <v>0</v>
      </c>
      <c r="X11" s="22">
        <f t="shared" si="0"/>
        <v>0</v>
      </c>
      <c r="Y11" s="22">
        <f t="shared" si="0"/>
        <v>0</v>
      </c>
    </row>
    <row r="12" spans="1:25">
      <c r="I12" t="s">
        <v>376</v>
      </c>
      <c r="J12" s="22">
        <f t="shared" si="0"/>
        <v>0</v>
      </c>
      <c r="K12" s="22">
        <f t="shared" si="0"/>
        <v>0</v>
      </c>
      <c r="L12" s="22">
        <f t="shared" si="0"/>
        <v>0</v>
      </c>
      <c r="M12" s="22">
        <f t="shared" si="0"/>
        <v>0</v>
      </c>
      <c r="N12" s="22">
        <f t="shared" si="0"/>
        <v>0</v>
      </c>
      <c r="O12" s="22">
        <f t="shared" si="0"/>
        <v>0</v>
      </c>
      <c r="P12" s="22">
        <f t="shared" si="0"/>
        <v>0</v>
      </c>
      <c r="Q12" s="22">
        <f t="shared" si="0"/>
        <v>0</v>
      </c>
      <c r="R12" s="22">
        <f t="shared" si="0"/>
        <v>0</v>
      </c>
      <c r="S12" s="22">
        <f t="shared" si="0"/>
        <v>0</v>
      </c>
      <c r="T12" s="22">
        <f t="shared" si="0"/>
        <v>0</v>
      </c>
      <c r="U12" s="22">
        <f t="shared" si="0"/>
        <v>0</v>
      </c>
      <c r="V12" s="22">
        <f t="shared" si="0"/>
        <v>0</v>
      </c>
      <c r="W12" s="22">
        <f t="shared" si="0"/>
        <v>0</v>
      </c>
      <c r="X12" s="22">
        <f t="shared" si="0"/>
        <v>0</v>
      </c>
      <c r="Y12" s="22">
        <f t="shared" si="0"/>
        <v>0</v>
      </c>
    </row>
    <row r="13" spans="1:25">
      <c r="I13" t="s">
        <v>377</v>
      </c>
      <c r="J13" s="22">
        <f t="shared" si="0"/>
        <v>0</v>
      </c>
      <c r="K13" s="22">
        <f t="shared" si="0"/>
        <v>0</v>
      </c>
      <c r="L13" s="22">
        <f t="shared" si="0"/>
        <v>0</v>
      </c>
      <c r="M13" s="22">
        <f t="shared" si="0"/>
        <v>0</v>
      </c>
      <c r="N13" s="22">
        <f t="shared" si="0"/>
        <v>0</v>
      </c>
      <c r="O13" s="22">
        <f t="shared" si="0"/>
        <v>0</v>
      </c>
      <c r="P13" s="22">
        <f t="shared" si="0"/>
        <v>0</v>
      </c>
      <c r="Q13" s="22">
        <f t="shared" si="0"/>
        <v>0</v>
      </c>
      <c r="R13" s="22">
        <f t="shared" si="0"/>
        <v>0</v>
      </c>
      <c r="S13" s="22">
        <f t="shared" si="0"/>
        <v>0</v>
      </c>
      <c r="T13" s="22">
        <f t="shared" si="0"/>
        <v>0</v>
      </c>
      <c r="U13" s="22">
        <f t="shared" si="0"/>
        <v>0</v>
      </c>
      <c r="V13" s="22">
        <f t="shared" si="0"/>
        <v>0</v>
      </c>
      <c r="W13" s="22">
        <f t="shared" si="0"/>
        <v>0</v>
      </c>
      <c r="X13" s="22">
        <f t="shared" si="0"/>
        <v>0</v>
      </c>
      <c r="Y13" s="22">
        <f t="shared" si="0"/>
        <v>0</v>
      </c>
    </row>
    <row r="14" spans="1:25">
      <c r="I14" t="s">
        <v>378</v>
      </c>
      <c r="J14" s="22">
        <f t="shared" si="0"/>
        <v>0</v>
      </c>
      <c r="K14" s="22">
        <f t="shared" si="0"/>
        <v>0</v>
      </c>
      <c r="L14" s="22">
        <f t="shared" si="0"/>
        <v>0</v>
      </c>
      <c r="M14" s="22">
        <f t="shared" si="0"/>
        <v>0</v>
      </c>
      <c r="N14" s="22">
        <f t="shared" si="0"/>
        <v>0</v>
      </c>
      <c r="O14" s="22">
        <f t="shared" si="0"/>
        <v>0</v>
      </c>
      <c r="P14" s="22">
        <f t="shared" si="0"/>
        <v>0</v>
      </c>
      <c r="Q14" s="22">
        <f t="shared" si="0"/>
        <v>0</v>
      </c>
      <c r="R14" s="22">
        <f t="shared" si="0"/>
        <v>0</v>
      </c>
      <c r="S14" s="22">
        <f t="shared" si="0"/>
        <v>0</v>
      </c>
      <c r="T14" s="22">
        <f t="shared" si="0"/>
        <v>0</v>
      </c>
      <c r="U14" s="22">
        <f t="shared" si="0"/>
        <v>0</v>
      </c>
      <c r="V14" s="22">
        <f t="shared" si="0"/>
        <v>0</v>
      </c>
      <c r="W14" s="22">
        <f t="shared" si="0"/>
        <v>0</v>
      </c>
      <c r="X14" s="22">
        <f t="shared" si="0"/>
        <v>0</v>
      </c>
      <c r="Y14" s="22">
        <f t="shared" si="0"/>
        <v>0</v>
      </c>
    </row>
    <row r="15" spans="1:25">
      <c r="I15" t="s">
        <v>379</v>
      </c>
      <c r="J15" s="22">
        <f t="shared" si="0"/>
        <v>0</v>
      </c>
      <c r="K15" s="22">
        <f t="shared" si="0"/>
        <v>0</v>
      </c>
      <c r="L15" s="22">
        <f t="shared" si="0"/>
        <v>0</v>
      </c>
      <c r="M15" s="22">
        <f t="shared" si="0"/>
        <v>0</v>
      </c>
      <c r="N15" s="22">
        <f t="shared" si="0"/>
        <v>0</v>
      </c>
      <c r="O15" s="22">
        <f t="shared" si="0"/>
        <v>0</v>
      </c>
      <c r="P15" s="22">
        <f t="shared" si="0"/>
        <v>0</v>
      </c>
      <c r="Q15" s="22">
        <f t="shared" si="0"/>
        <v>0</v>
      </c>
      <c r="R15" s="22">
        <f t="shared" si="0"/>
        <v>0</v>
      </c>
      <c r="S15" s="22">
        <f t="shared" si="0"/>
        <v>0</v>
      </c>
      <c r="T15" s="22">
        <f t="shared" si="0"/>
        <v>0</v>
      </c>
      <c r="U15" s="22">
        <f t="shared" si="0"/>
        <v>0</v>
      </c>
      <c r="V15" s="22">
        <f t="shared" si="0"/>
        <v>0</v>
      </c>
      <c r="W15" s="22">
        <f t="shared" si="0"/>
        <v>0</v>
      </c>
      <c r="X15" s="22">
        <f t="shared" si="0"/>
        <v>0</v>
      </c>
      <c r="Y15" s="22">
        <f t="shared" si="0"/>
        <v>0</v>
      </c>
    </row>
    <row r="16" spans="1:25">
      <c r="I16" t="s">
        <v>380</v>
      </c>
      <c r="J16" s="22">
        <f t="shared" si="0"/>
        <v>0</v>
      </c>
      <c r="K16" s="22">
        <f t="shared" si="0"/>
        <v>0</v>
      </c>
      <c r="L16" s="22">
        <f t="shared" si="0"/>
        <v>0</v>
      </c>
      <c r="M16" s="22">
        <f t="shared" si="0"/>
        <v>0</v>
      </c>
      <c r="N16" s="22">
        <f t="shared" si="0"/>
        <v>0</v>
      </c>
      <c r="O16" s="22">
        <f t="shared" si="0"/>
        <v>0</v>
      </c>
      <c r="P16" s="22">
        <f t="shared" si="0"/>
        <v>0</v>
      </c>
      <c r="Q16" s="22">
        <f t="shared" si="0"/>
        <v>0</v>
      </c>
      <c r="R16" s="22">
        <f t="shared" si="0"/>
        <v>0</v>
      </c>
      <c r="S16" s="22">
        <f t="shared" si="0"/>
        <v>0</v>
      </c>
      <c r="T16" s="22">
        <f t="shared" si="0"/>
        <v>0</v>
      </c>
      <c r="U16" s="22">
        <f t="shared" si="0"/>
        <v>0</v>
      </c>
      <c r="V16" s="22">
        <f t="shared" si="0"/>
        <v>0</v>
      </c>
      <c r="W16" s="22">
        <f t="shared" si="0"/>
        <v>0</v>
      </c>
      <c r="X16" s="22">
        <f t="shared" si="0"/>
        <v>0</v>
      </c>
      <c r="Y16" s="22">
        <f t="shared" si="0"/>
        <v>0</v>
      </c>
    </row>
    <row r="17" spans="1:25">
      <c r="I17" t="s">
        <v>381</v>
      </c>
      <c r="J17" s="22">
        <f t="shared" si="0"/>
        <v>0</v>
      </c>
      <c r="K17" s="22">
        <f t="shared" si="0"/>
        <v>0</v>
      </c>
      <c r="L17" s="22">
        <f t="shared" si="0"/>
        <v>0</v>
      </c>
      <c r="M17" s="22">
        <f t="shared" si="0"/>
        <v>0</v>
      </c>
      <c r="N17" s="22">
        <f t="shared" si="0"/>
        <v>0</v>
      </c>
      <c r="O17" s="22">
        <f t="shared" si="0"/>
        <v>0</v>
      </c>
      <c r="P17" s="22">
        <f t="shared" si="0"/>
        <v>0</v>
      </c>
      <c r="Q17" s="22">
        <f t="shared" si="0"/>
        <v>0</v>
      </c>
      <c r="R17" s="22">
        <f t="shared" si="0"/>
        <v>0</v>
      </c>
      <c r="S17" s="22">
        <f t="shared" si="0"/>
        <v>0</v>
      </c>
      <c r="T17" s="22">
        <f t="shared" si="0"/>
        <v>0</v>
      </c>
      <c r="U17" s="22">
        <f t="shared" si="0"/>
        <v>0</v>
      </c>
      <c r="V17" s="22">
        <f t="shared" si="0"/>
        <v>0</v>
      </c>
      <c r="W17" s="22">
        <f t="shared" si="0"/>
        <v>0</v>
      </c>
      <c r="X17" s="22">
        <f t="shared" si="0"/>
        <v>0</v>
      </c>
      <c r="Y17" s="22">
        <f t="shared" si="0"/>
        <v>0</v>
      </c>
    </row>
    <row r="18" spans="1:25">
      <c r="I18" t="s">
        <v>382</v>
      </c>
      <c r="J18" s="22">
        <f t="shared" si="0"/>
        <v>0</v>
      </c>
      <c r="K18" s="22">
        <f t="shared" si="0"/>
        <v>0</v>
      </c>
      <c r="L18" s="22">
        <f t="shared" si="0"/>
        <v>0</v>
      </c>
      <c r="M18" s="22">
        <f t="shared" si="0"/>
        <v>0</v>
      </c>
      <c r="N18" s="22">
        <f t="shared" si="0"/>
        <v>0</v>
      </c>
      <c r="O18" s="22">
        <f t="shared" si="0"/>
        <v>0</v>
      </c>
      <c r="P18" s="22">
        <f t="shared" si="0"/>
        <v>0</v>
      </c>
      <c r="Q18" s="22">
        <f t="shared" si="0"/>
        <v>0</v>
      </c>
      <c r="R18" s="22">
        <f t="shared" si="0"/>
        <v>0</v>
      </c>
      <c r="S18" s="22">
        <f t="shared" si="0"/>
        <v>0</v>
      </c>
      <c r="T18" s="22">
        <f t="shared" si="0"/>
        <v>0</v>
      </c>
      <c r="U18" s="22">
        <f t="shared" si="0"/>
        <v>0</v>
      </c>
      <c r="V18" s="22">
        <f t="shared" si="0"/>
        <v>0</v>
      </c>
      <c r="W18" s="22">
        <f t="shared" si="0"/>
        <v>0</v>
      </c>
      <c r="X18" s="22">
        <f t="shared" si="0"/>
        <v>0</v>
      </c>
      <c r="Y18" s="22">
        <f t="shared" si="0"/>
        <v>0</v>
      </c>
    </row>
    <row r="19" spans="1:25">
      <c r="I19" t="s">
        <v>383</v>
      </c>
      <c r="J19" s="23">
        <f t="shared" ref="J19:Y19" si="1">SUMIFS(J$25:J$240,$C$25:$C$240,$I19,$D$25:$D$240,"Доступ")</f>
        <v>0</v>
      </c>
      <c r="K19" s="23">
        <f t="shared" si="1"/>
        <v>0</v>
      </c>
      <c r="L19" s="23">
        <f t="shared" si="1"/>
        <v>0</v>
      </c>
      <c r="M19" s="23">
        <f t="shared" si="1"/>
        <v>0</v>
      </c>
      <c r="N19" s="23">
        <f t="shared" si="1"/>
        <v>0</v>
      </c>
      <c r="O19" s="23">
        <f t="shared" si="1"/>
        <v>0</v>
      </c>
      <c r="P19" s="23">
        <f t="shared" si="1"/>
        <v>0</v>
      </c>
      <c r="Q19" s="23">
        <f t="shared" si="1"/>
        <v>0</v>
      </c>
      <c r="R19" s="23">
        <f t="shared" si="1"/>
        <v>0</v>
      </c>
      <c r="S19" s="23">
        <f t="shared" si="1"/>
        <v>0</v>
      </c>
      <c r="T19" s="23">
        <f t="shared" si="1"/>
        <v>0</v>
      </c>
      <c r="U19" s="23">
        <f t="shared" si="1"/>
        <v>0</v>
      </c>
      <c r="V19" s="23">
        <f t="shared" si="1"/>
        <v>0</v>
      </c>
      <c r="W19" s="23">
        <f t="shared" si="1"/>
        <v>0</v>
      </c>
      <c r="X19" s="23">
        <f t="shared" si="1"/>
        <v>0</v>
      </c>
      <c r="Y19" s="23">
        <f t="shared" si="1"/>
        <v>0</v>
      </c>
    </row>
    <row r="24" spans="1:25" ht="28.9" customHeight="1">
      <c r="A24" s="16" t="s">
        <v>384</v>
      </c>
      <c r="B24" s="16" t="s">
        <v>9</v>
      </c>
      <c r="C24" s="16" t="s">
        <v>385</v>
      </c>
      <c r="D24" s="16" t="s">
        <v>386</v>
      </c>
      <c r="E24" s="16" t="s">
        <v>387</v>
      </c>
      <c r="F24" s="16" t="s">
        <v>388</v>
      </c>
      <c r="G24" s="16" t="s">
        <v>389</v>
      </c>
    </row>
    <row r="25" spans="1:25">
      <c r="A25" s="24" t="s">
        <v>66</v>
      </c>
      <c r="B25" s="25" t="s">
        <v>69</v>
      </c>
      <c r="C25" s="25" t="s">
        <v>272</v>
      </c>
      <c r="D25" s="25" t="s">
        <v>387</v>
      </c>
      <c r="E25" s="26">
        <v>0.2</v>
      </c>
      <c r="F25" s="25">
        <f>IF(Технологии!BH11="","",Технологии!BH11)</f>
        <v>2027</v>
      </c>
      <c r="G25" s="25" t="s">
        <v>390</v>
      </c>
      <c r="J25" s="21">
        <f>0</f>
        <v>0</v>
      </c>
      <c r="K25" s="21">
        <f>IF(Технологии!AR11="ИЗУЧЕНО",$E25,0)</f>
        <v>0.2</v>
      </c>
      <c r="L25" s="21">
        <f>IF(Технологии!AS11="ИЗУЧЕНО",$E25,0)</f>
        <v>0.2</v>
      </c>
      <c r="M25" s="21">
        <f>IF(Технологии!AT11="ИЗУЧЕНО",$E25,0)</f>
        <v>0.2</v>
      </c>
      <c r="N25" s="21">
        <f>IF(Технологии!AU11="ИЗУЧЕНО",$E25,0)</f>
        <v>0.2</v>
      </c>
      <c r="O25" s="21">
        <f>IF(Технологии!AV11="ИЗУЧЕНО",$E25,0)</f>
        <v>0.2</v>
      </c>
      <c r="P25" s="21">
        <f>IF(Технологии!AW11="ИЗУЧЕНО",$E25,0)</f>
        <v>0.2</v>
      </c>
      <c r="Q25" s="21">
        <f>IF(Технологии!AX11="ИЗУЧЕНО",$E25,0)</f>
        <v>0.2</v>
      </c>
      <c r="R25" s="21">
        <f>IF(Технологии!AY11="ИЗУЧЕНО",$E25,0)</f>
        <v>0.2</v>
      </c>
      <c r="S25" s="21">
        <f>IF(Технологии!AZ11="ИЗУЧЕНО",$E25,0)</f>
        <v>0.2</v>
      </c>
      <c r="T25" s="21">
        <f>IF(Технологии!BA11="ИЗУЧЕНО",$E25,0)</f>
        <v>0.2</v>
      </c>
      <c r="U25" s="21">
        <f>IF(Технологии!BB11="ИЗУЧЕНО",$E25,0)</f>
        <v>0.2</v>
      </c>
      <c r="V25" s="21">
        <f>IF(Технологии!BC11="ИЗУЧЕНО",$E25,0)</f>
        <v>0.2</v>
      </c>
      <c r="W25" s="21">
        <f>IF(Технологии!BD11="ИЗУЧЕНО",$E25,0)</f>
        <v>0.2</v>
      </c>
      <c r="X25" s="21">
        <f>IF(Технологии!BE11="ИЗУЧЕНО",$E25,0)</f>
        <v>0.2</v>
      </c>
      <c r="Y25" s="21">
        <f>IF(Технологии!BF11="ИЗУЧЕНО",$E25,0)</f>
        <v>0.2</v>
      </c>
    </row>
    <row r="26" spans="1:25">
      <c r="A26" s="19" t="s">
        <v>72</v>
      </c>
      <c r="B26" s="18" t="s">
        <v>74</v>
      </c>
      <c r="C26" s="18" t="s">
        <v>272</v>
      </c>
      <c r="D26" s="18" t="s">
        <v>387</v>
      </c>
      <c r="E26" s="20">
        <v>0.3</v>
      </c>
      <c r="F26" s="18" t="str">
        <f>IF(Технологии!BH12="","",Технологии!BH12)</f>
        <v/>
      </c>
      <c r="G26" s="18" t="s">
        <v>391</v>
      </c>
      <c r="J26" s="21">
        <f>0</f>
        <v>0</v>
      </c>
      <c r="K26" s="21">
        <f>IF(Технологии!AR12="ИЗУЧЕНО",$E26,0)</f>
        <v>0</v>
      </c>
      <c r="L26" s="21">
        <f>IF(Технологии!AS12="ИЗУЧЕНО",$E26,0)</f>
        <v>0</v>
      </c>
      <c r="M26" s="21">
        <f>IF(Технологии!AT12="ИЗУЧЕНО",$E26,0)</f>
        <v>0</v>
      </c>
      <c r="N26" s="21">
        <f>IF(Технологии!AU12="ИЗУЧЕНО",$E26,0)</f>
        <v>0</v>
      </c>
      <c r="O26" s="21">
        <f>IF(Технологии!AV12="ИЗУЧЕНО",$E26,0)</f>
        <v>0</v>
      </c>
      <c r="P26" s="21">
        <f>IF(Технологии!AW12="ИЗУЧЕНО",$E26,0)</f>
        <v>0</v>
      </c>
      <c r="Q26" s="21">
        <f>IF(Технологии!AX12="ИЗУЧЕНО",$E26,0)</f>
        <v>0</v>
      </c>
      <c r="R26" s="21">
        <f>IF(Технологии!AY12="ИЗУЧЕНО",$E26,0)</f>
        <v>0</v>
      </c>
      <c r="S26" s="21">
        <f>IF(Технологии!AZ12="ИЗУЧЕНО",$E26,0)</f>
        <v>0</v>
      </c>
      <c r="T26" s="21">
        <f>IF(Технологии!BA12="ИЗУЧЕНО",$E26,0)</f>
        <v>0</v>
      </c>
      <c r="U26" s="21">
        <f>IF(Технологии!BB12="ИЗУЧЕНО",$E26,0)</f>
        <v>0</v>
      </c>
      <c r="V26" s="21">
        <f>IF(Технологии!BC12="ИЗУЧЕНО",$E26,0)</f>
        <v>0</v>
      </c>
      <c r="W26" s="21">
        <f>IF(Технологии!BD12="ИЗУЧЕНО",$E26,0)</f>
        <v>0</v>
      </c>
      <c r="X26" s="21">
        <f>IF(Технологии!BE12="ИЗУЧЕНО",$E26,0)</f>
        <v>0</v>
      </c>
      <c r="Y26" s="21">
        <f>IF(Технологии!BF12="ИЗУЧЕНО",$E26,0)</f>
        <v>0</v>
      </c>
    </row>
    <row r="27" spans="1:25">
      <c r="A27" s="19" t="s">
        <v>72</v>
      </c>
      <c r="B27" s="18" t="s">
        <v>74</v>
      </c>
      <c r="C27" s="18" t="s">
        <v>282</v>
      </c>
      <c r="D27" s="18" t="s">
        <v>387</v>
      </c>
      <c r="E27" s="20">
        <v>0.2</v>
      </c>
      <c r="F27" s="18" t="str">
        <f>IF(Технологии!BH12="","",Технологии!BH12)</f>
        <v/>
      </c>
      <c r="G27" s="18" t="s">
        <v>392</v>
      </c>
      <c r="J27" s="21">
        <f>0</f>
        <v>0</v>
      </c>
      <c r="K27" s="21">
        <f>IF(Технологии!AR12="ИЗУЧЕНО",$E27,0)</f>
        <v>0</v>
      </c>
      <c r="L27" s="21">
        <f>IF(Технологии!AS12="ИЗУЧЕНО",$E27,0)</f>
        <v>0</v>
      </c>
      <c r="M27" s="21">
        <f>IF(Технологии!AT12="ИЗУЧЕНО",$E27,0)</f>
        <v>0</v>
      </c>
      <c r="N27" s="21">
        <f>IF(Технологии!AU12="ИЗУЧЕНО",$E27,0)</f>
        <v>0</v>
      </c>
      <c r="O27" s="21">
        <f>IF(Технологии!AV12="ИЗУЧЕНО",$E27,0)</f>
        <v>0</v>
      </c>
      <c r="P27" s="21">
        <f>IF(Технологии!AW12="ИЗУЧЕНО",$E27,0)</f>
        <v>0</v>
      </c>
      <c r="Q27" s="21">
        <f>IF(Технологии!AX12="ИЗУЧЕНО",$E27,0)</f>
        <v>0</v>
      </c>
      <c r="R27" s="21">
        <f>IF(Технологии!AY12="ИЗУЧЕНО",$E27,0)</f>
        <v>0</v>
      </c>
      <c r="S27" s="21">
        <f>IF(Технологии!AZ12="ИЗУЧЕНО",$E27,0)</f>
        <v>0</v>
      </c>
      <c r="T27" s="21">
        <f>IF(Технологии!BA12="ИЗУЧЕНО",$E27,0)</f>
        <v>0</v>
      </c>
      <c r="U27" s="21">
        <f>IF(Технологии!BB12="ИЗУЧЕНО",$E27,0)</f>
        <v>0</v>
      </c>
      <c r="V27" s="21">
        <f>IF(Технологии!BC12="ИЗУЧЕНО",$E27,0)</f>
        <v>0</v>
      </c>
      <c r="W27" s="21">
        <f>IF(Технологии!BD12="ИЗУЧЕНО",$E27,0)</f>
        <v>0</v>
      </c>
      <c r="X27" s="21">
        <f>IF(Технологии!BE12="ИЗУЧЕНО",$E27,0)</f>
        <v>0</v>
      </c>
      <c r="Y27" s="21">
        <f>IF(Технологии!BF12="ИЗУЧЕНО",$E27,0)</f>
        <v>0</v>
      </c>
    </row>
    <row r="28" spans="1:25">
      <c r="A28" s="19" t="s">
        <v>72</v>
      </c>
      <c r="B28" s="18" t="s">
        <v>74</v>
      </c>
      <c r="C28" s="18" t="s">
        <v>256</v>
      </c>
      <c r="D28" s="18" t="s">
        <v>387</v>
      </c>
      <c r="E28" s="20">
        <v>-0.15</v>
      </c>
      <c r="F28" s="18" t="str">
        <f>IF(Технологии!BH12="","",Технологии!BH12)</f>
        <v/>
      </c>
      <c r="G28" s="18" t="s">
        <v>393</v>
      </c>
      <c r="J28" s="21">
        <f>0</f>
        <v>0</v>
      </c>
      <c r="K28" s="21">
        <f>IF(Технологии!AR12="ИЗУЧЕНО",$E28,0)</f>
        <v>0</v>
      </c>
      <c r="L28" s="21">
        <f>IF(Технологии!AS12="ИЗУЧЕНО",$E28,0)</f>
        <v>0</v>
      </c>
      <c r="M28" s="21">
        <f>IF(Технологии!AT12="ИЗУЧЕНО",$E28,0)</f>
        <v>0</v>
      </c>
      <c r="N28" s="21">
        <f>IF(Технологии!AU12="ИЗУЧЕНО",$E28,0)</f>
        <v>0</v>
      </c>
      <c r="O28" s="21">
        <f>IF(Технологии!AV12="ИЗУЧЕНО",$E28,0)</f>
        <v>0</v>
      </c>
      <c r="P28" s="21">
        <f>IF(Технологии!AW12="ИЗУЧЕНО",$E28,0)</f>
        <v>0</v>
      </c>
      <c r="Q28" s="21">
        <f>IF(Технологии!AX12="ИЗУЧЕНО",$E28,0)</f>
        <v>0</v>
      </c>
      <c r="R28" s="21">
        <f>IF(Технологии!AY12="ИЗУЧЕНО",$E28,0)</f>
        <v>0</v>
      </c>
      <c r="S28" s="21">
        <f>IF(Технологии!AZ12="ИЗУЧЕНО",$E28,0)</f>
        <v>0</v>
      </c>
      <c r="T28" s="21">
        <f>IF(Технологии!BA12="ИЗУЧЕНО",$E28,0)</f>
        <v>0</v>
      </c>
      <c r="U28" s="21">
        <f>IF(Технологии!BB12="ИЗУЧЕНО",$E28,0)</f>
        <v>0</v>
      </c>
      <c r="V28" s="21">
        <f>IF(Технологии!BC12="ИЗУЧЕНО",$E28,0)</f>
        <v>0</v>
      </c>
      <c r="W28" s="21">
        <f>IF(Технологии!BD12="ИЗУЧЕНО",$E28,0)</f>
        <v>0</v>
      </c>
      <c r="X28" s="21">
        <f>IF(Технологии!BE12="ИЗУЧЕНО",$E28,0)</f>
        <v>0</v>
      </c>
      <c r="Y28" s="21">
        <f>IF(Технологии!BF12="ИЗУЧЕНО",$E28,0)</f>
        <v>0</v>
      </c>
    </row>
    <row r="29" spans="1:25">
      <c r="A29" s="19" t="s">
        <v>77</v>
      </c>
      <c r="B29" s="18" t="s">
        <v>78</v>
      </c>
      <c r="C29" s="18" t="s">
        <v>270</v>
      </c>
      <c r="D29" s="18" t="s">
        <v>387</v>
      </c>
      <c r="E29" s="20">
        <v>0.4</v>
      </c>
      <c r="F29" s="18" t="str">
        <f>IF(Технологии!BH13="","",Технологии!BH13)</f>
        <v/>
      </c>
      <c r="G29" s="18" t="s">
        <v>394</v>
      </c>
      <c r="J29" s="21">
        <f>0</f>
        <v>0</v>
      </c>
      <c r="K29" s="21">
        <f>IF(Технологии!AR13="ИЗУЧЕНО",$E29,0)</f>
        <v>0</v>
      </c>
      <c r="L29" s="21">
        <f>IF(Технологии!AS13="ИЗУЧЕНО",$E29,0)</f>
        <v>0</v>
      </c>
      <c r="M29" s="21">
        <f>IF(Технологии!AT13="ИЗУЧЕНО",$E29,0)</f>
        <v>0</v>
      </c>
      <c r="N29" s="21">
        <f>IF(Технологии!AU13="ИЗУЧЕНО",$E29,0)</f>
        <v>0</v>
      </c>
      <c r="O29" s="21">
        <f>IF(Технологии!AV13="ИЗУЧЕНО",$E29,0)</f>
        <v>0</v>
      </c>
      <c r="P29" s="21">
        <f>IF(Технологии!AW13="ИЗУЧЕНО",$E29,0)</f>
        <v>0</v>
      </c>
      <c r="Q29" s="21">
        <f>IF(Технологии!AX13="ИЗУЧЕНО",$E29,0)</f>
        <v>0</v>
      </c>
      <c r="R29" s="21">
        <f>IF(Технологии!AY13="ИЗУЧЕНО",$E29,0)</f>
        <v>0</v>
      </c>
      <c r="S29" s="21">
        <f>IF(Технологии!AZ13="ИЗУЧЕНО",$E29,0)</f>
        <v>0</v>
      </c>
      <c r="T29" s="21">
        <f>IF(Технологии!BA13="ИЗУЧЕНО",$E29,0)</f>
        <v>0</v>
      </c>
      <c r="U29" s="21">
        <f>IF(Технологии!BB13="ИЗУЧЕНО",$E29,0)</f>
        <v>0</v>
      </c>
      <c r="V29" s="21">
        <f>IF(Технологии!BC13="ИЗУЧЕНО",$E29,0)</f>
        <v>0</v>
      </c>
      <c r="W29" s="21">
        <f>IF(Технологии!BD13="ИЗУЧЕНО",$E29,0)</f>
        <v>0</v>
      </c>
      <c r="X29" s="21">
        <f>IF(Технологии!BE13="ИЗУЧЕНО",$E29,0)</f>
        <v>0</v>
      </c>
      <c r="Y29" s="21">
        <f>IF(Технологии!BF13="ИЗУЧЕНО",$E29,0)</f>
        <v>0</v>
      </c>
    </row>
    <row r="30" spans="1:25">
      <c r="A30" s="19" t="s">
        <v>77</v>
      </c>
      <c r="B30" s="18" t="s">
        <v>78</v>
      </c>
      <c r="C30" s="18" t="s">
        <v>272</v>
      </c>
      <c r="D30" s="18" t="s">
        <v>387</v>
      </c>
      <c r="E30" s="20">
        <v>0.2</v>
      </c>
      <c r="F30" s="18" t="str">
        <f>IF(Технологии!BH13="","",Технологии!BH13)</f>
        <v/>
      </c>
      <c r="G30" s="18" t="s">
        <v>390</v>
      </c>
      <c r="J30" s="21">
        <f>0</f>
        <v>0</v>
      </c>
      <c r="K30" s="21">
        <f>IF(Технологии!AR13="ИЗУЧЕНО",$E30,0)</f>
        <v>0</v>
      </c>
      <c r="L30" s="21">
        <f>IF(Технологии!AS13="ИЗУЧЕНО",$E30,0)</f>
        <v>0</v>
      </c>
      <c r="M30" s="21">
        <f>IF(Технологии!AT13="ИЗУЧЕНО",$E30,0)</f>
        <v>0</v>
      </c>
      <c r="N30" s="21">
        <f>IF(Технологии!AU13="ИЗУЧЕНО",$E30,0)</f>
        <v>0</v>
      </c>
      <c r="O30" s="21">
        <f>IF(Технологии!AV13="ИЗУЧЕНО",$E30,0)</f>
        <v>0</v>
      </c>
      <c r="P30" s="21">
        <f>IF(Технологии!AW13="ИЗУЧЕНО",$E30,0)</f>
        <v>0</v>
      </c>
      <c r="Q30" s="21">
        <f>IF(Технологии!AX13="ИЗУЧЕНО",$E30,0)</f>
        <v>0</v>
      </c>
      <c r="R30" s="21">
        <f>IF(Технологии!AY13="ИЗУЧЕНО",$E30,0)</f>
        <v>0</v>
      </c>
      <c r="S30" s="21">
        <f>IF(Технологии!AZ13="ИЗУЧЕНО",$E30,0)</f>
        <v>0</v>
      </c>
      <c r="T30" s="21">
        <f>IF(Технологии!BA13="ИЗУЧЕНО",$E30,0)</f>
        <v>0</v>
      </c>
      <c r="U30" s="21">
        <f>IF(Технологии!BB13="ИЗУЧЕНО",$E30,0)</f>
        <v>0</v>
      </c>
      <c r="V30" s="21">
        <f>IF(Технологии!BC13="ИЗУЧЕНО",$E30,0)</f>
        <v>0</v>
      </c>
      <c r="W30" s="21">
        <f>IF(Технологии!BD13="ИЗУЧЕНО",$E30,0)</f>
        <v>0</v>
      </c>
      <c r="X30" s="21">
        <f>IF(Технологии!BE13="ИЗУЧЕНО",$E30,0)</f>
        <v>0</v>
      </c>
      <c r="Y30" s="21">
        <f>IF(Технологии!BF13="ИЗУЧЕНО",$E30,0)</f>
        <v>0</v>
      </c>
    </row>
    <row r="31" spans="1:25">
      <c r="A31" s="19" t="s">
        <v>77</v>
      </c>
      <c r="B31" s="18" t="s">
        <v>78</v>
      </c>
      <c r="C31" s="18" t="s">
        <v>257</v>
      </c>
      <c r="D31" s="18" t="s">
        <v>387</v>
      </c>
      <c r="E31" s="20">
        <v>0.2</v>
      </c>
      <c r="F31" s="18" t="str">
        <f>IF(Технологии!BH13="","",Технологии!BH13)</f>
        <v/>
      </c>
      <c r="G31" s="18" t="s">
        <v>395</v>
      </c>
      <c r="J31" s="21">
        <f>0</f>
        <v>0</v>
      </c>
      <c r="K31" s="21">
        <f>IF(Технологии!AR13="ИЗУЧЕНО",$E31,0)</f>
        <v>0</v>
      </c>
      <c r="L31" s="21">
        <f>IF(Технологии!AS13="ИЗУЧЕНО",$E31,0)</f>
        <v>0</v>
      </c>
      <c r="M31" s="21">
        <f>IF(Технологии!AT13="ИЗУЧЕНО",$E31,0)</f>
        <v>0</v>
      </c>
      <c r="N31" s="21">
        <f>IF(Технологии!AU13="ИЗУЧЕНО",$E31,0)</f>
        <v>0</v>
      </c>
      <c r="O31" s="21">
        <f>IF(Технологии!AV13="ИЗУЧЕНО",$E31,0)</f>
        <v>0</v>
      </c>
      <c r="P31" s="21">
        <f>IF(Технологии!AW13="ИЗУЧЕНО",$E31,0)</f>
        <v>0</v>
      </c>
      <c r="Q31" s="21">
        <f>IF(Технологии!AX13="ИЗУЧЕНО",$E31,0)</f>
        <v>0</v>
      </c>
      <c r="R31" s="21">
        <f>IF(Технологии!AY13="ИЗУЧЕНО",$E31,0)</f>
        <v>0</v>
      </c>
      <c r="S31" s="21">
        <f>IF(Технологии!AZ13="ИЗУЧЕНО",$E31,0)</f>
        <v>0</v>
      </c>
      <c r="T31" s="21">
        <f>IF(Технологии!BA13="ИЗУЧЕНО",$E31,0)</f>
        <v>0</v>
      </c>
      <c r="U31" s="21">
        <f>IF(Технологии!BB13="ИЗУЧЕНО",$E31,0)</f>
        <v>0</v>
      </c>
      <c r="V31" s="21">
        <f>IF(Технологии!BC13="ИЗУЧЕНО",$E31,0)</f>
        <v>0</v>
      </c>
      <c r="W31" s="21">
        <f>IF(Технологии!BD13="ИЗУЧЕНО",$E31,0)</f>
        <v>0</v>
      </c>
      <c r="X31" s="21">
        <f>IF(Технологии!BE13="ИЗУЧЕНО",$E31,0)</f>
        <v>0</v>
      </c>
      <c r="Y31" s="21">
        <f>IF(Технологии!BF13="ИЗУЧЕНО",$E31,0)</f>
        <v>0</v>
      </c>
    </row>
    <row r="32" spans="1:25">
      <c r="A32" s="19" t="s">
        <v>77</v>
      </c>
      <c r="B32" s="18" t="s">
        <v>78</v>
      </c>
      <c r="C32" s="18" t="s">
        <v>256</v>
      </c>
      <c r="D32" s="18" t="s">
        <v>387</v>
      </c>
      <c r="E32" s="20">
        <v>-0.4</v>
      </c>
      <c r="F32" s="18" t="str">
        <f>IF(Технологии!BH13="","",Технологии!BH13)</f>
        <v/>
      </c>
      <c r="G32" s="18" t="s">
        <v>396</v>
      </c>
      <c r="J32" s="21">
        <f>0</f>
        <v>0</v>
      </c>
      <c r="K32" s="21">
        <f>IF(Технологии!AR13="ИЗУЧЕНО",$E32,0)</f>
        <v>0</v>
      </c>
      <c r="L32" s="21">
        <f>IF(Технологии!AS13="ИЗУЧЕНО",$E32,0)</f>
        <v>0</v>
      </c>
      <c r="M32" s="21">
        <f>IF(Технологии!AT13="ИЗУЧЕНО",$E32,0)</f>
        <v>0</v>
      </c>
      <c r="N32" s="21">
        <f>IF(Технологии!AU13="ИЗУЧЕНО",$E32,0)</f>
        <v>0</v>
      </c>
      <c r="O32" s="21">
        <f>IF(Технологии!AV13="ИЗУЧЕНО",$E32,0)</f>
        <v>0</v>
      </c>
      <c r="P32" s="21">
        <f>IF(Технологии!AW13="ИЗУЧЕНО",$E32,0)</f>
        <v>0</v>
      </c>
      <c r="Q32" s="21">
        <f>IF(Технологии!AX13="ИЗУЧЕНО",$E32,0)</f>
        <v>0</v>
      </c>
      <c r="R32" s="21">
        <f>IF(Технологии!AY13="ИЗУЧЕНО",$E32,0)</f>
        <v>0</v>
      </c>
      <c r="S32" s="21">
        <f>IF(Технологии!AZ13="ИЗУЧЕНО",$E32,0)</f>
        <v>0</v>
      </c>
      <c r="T32" s="21">
        <f>IF(Технологии!BA13="ИЗУЧЕНО",$E32,0)</f>
        <v>0</v>
      </c>
      <c r="U32" s="21">
        <f>IF(Технологии!BB13="ИЗУЧЕНО",$E32,0)</f>
        <v>0</v>
      </c>
      <c r="V32" s="21">
        <f>IF(Технологии!BC13="ИЗУЧЕНО",$E32,0)</f>
        <v>0</v>
      </c>
      <c r="W32" s="21">
        <f>IF(Технологии!BD13="ИЗУЧЕНО",$E32,0)</f>
        <v>0</v>
      </c>
      <c r="X32" s="21">
        <f>IF(Технологии!BE13="ИЗУЧЕНО",$E32,0)</f>
        <v>0</v>
      </c>
      <c r="Y32" s="21">
        <f>IF(Технологии!BF13="ИЗУЧЕНО",$E32,0)</f>
        <v>0</v>
      </c>
    </row>
    <row r="33" spans="1:25">
      <c r="A33" s="19" t="s">
        <v>81</v>
      </c>
      <c r="B33" s="18" t="s">
        <v>83</v>
      </c>
      <c r="C33" s="18" t="s">
        <v>274</v>
      </c>
      <c r="D33" s="18" t="s">
        <v>387</v>
      </c>
      <c r="E33" s="20">
        <v>0.4</v>
      </c>
      <c r="F33" s="18" t="str">
        <f>IF(Технологии!BH14="","",Технологии!BH14)</f>
        <v/>
      </c>
      <c r="G33" s="18" t="s">
        <v>397</v>
      </c>
      <c r="J33" s="21">
        <f>0</f>
        <v>0</v>
      </c>
      <c r="K33" s="21">
        <f>IF(Технологии!AR14="ИЗУЧЕНО",$E33,0)</f>
        <v>0</v>
      </c>
      <c r="L33" s="21">
        <f>IF(Технологии!AS14="ИЗУЧЕНО",$E33,0)</f>
        <v>0</v>
      </c>
      <c r="M33" s="21">
        <f>IF(Технологии!AT14="ИЗУЧЕНО",$E33,0)</f>
        <v>0</v>
      </c>
      <c r="N33" s="21">
        <f>IF(Технологии!AU14="ИЗУЧЕНО",$E33,0)</f>
        <v>0</v>
      </c>
      <c r="O33" s="21">
        <f>IF(Технологии!AV14="ИЗУЧЕНО",$E33,0)</f>
        <v>0</v>
      </c>
      <c r="P33" s="21">
        <f>IF(Технологии!AW14="ИЗУЧЕНО",$E33,0)</f>
        <v>0</v>
      </c>
      <c r="Q33" s="21">
        <f>IF(Технологии!AX14="ИЗУЧЕНО",$E33,0)</f>
        <v>0</v>
      </c>
      <c r="R33" s="21">
        <f>IF(Технологии!AY14="ИЗУЧЕНО",$E33,0)</f>
        <v>0</v>
      </c>
      <c r="S33" s="21">
        <f>IF(Технологии!AZ14="ИЗУЧЕНО",$E33,0)</f>
        <v>0</v>
      </c>
      <c r="T33" s="21">
        <f>IF(Технологии!BA14="ИЗУЧЕНО",$E33,0)</f>
        <v>0</v>
      </c>
      <c r="U33" s="21">
        <f>IF(Технологии!BB14="ИЗУЧЕНО",$E33,0)</f>
        <v>0</v>
      </c>
      <c r="V33" s="21">
        <f>IF(Технологии!BC14="ИЗУЧЕНО",$E33,0)</f>
        <v>0</v>
      </c>
      <c r="W33" s="21">
        <f>IF(Технологии!BD14="ИЗУЧЕНО",$E33,0)</f>
        <v>0</v>
      </c>
      <c r="X33" s="21">
        <f>IF(Технологии!BE14="ИЗУЧЕНО",$E33,0)</f>
        <v>0</v>
      </c>
      <c r="Y33" s="21">
        <f>IF(Технологии!BF14="ИЗУЧЕНО",$E33,0)</f>
        <v>0</v>
      </c>
    </row>
    <row r="34" spans="1:25">
      <c r="A34" s="19" t="s">
        <v>81</v>
      </c>
      <c r="B34" s="18" t="s">
        <v>83</v>
      </c>
      <c r="C34" s="18" t="s">
        <v>284</v>
      </c>
      <c r="D34" s="18" t="s">
        <v>387</v>
      </c>
      <c r="E34" s="20">
        <v>0.2</v>
      </c>
      <c r="F34" s="18" t="str">
        <f>IF(Технологии!BH14="","",Технологии!BH14)</f>
        <v/>
      </c>
      <c r="G34" s="18" t="s">
        <v>398</v>
      </c>
      <c r="J34" s="21">
        <f>0</f>
        <v>0</v>
      </c>
      <c r="K34" s="21">
        <f>IF(Технологии!AR14="ИЗУЧЕНО",$E34,0)</f>
        <v>0</v>
      </c>
      <c r="L34" s="21">
        <f>IF(Технологии!AS14="ИЗУЧЕНО",$E34,0)</f>
        <v>0</v>
      </c>
      <c r="M34" s="21">
        <f>IF(Технологии!AT14="ИЗУЧЕНО",$E34,0)</f>
        <v>0</v>
      </c>
      <c r="N34" s="21">
        <f>IF(Технологии!AU14="ИЗУЧЕНО",$E34,0)</f>
        <v>0</v>
      </c>
      <c r="O34" s="21">
        <f>IF(Технологии!AV14="ИЗУЧЕНО",$E34,0)</f>
        <v>0</v>
      </c>
      <c r="P34" s="21">
        <f>IF(Технологии!AW14="ИЗУЧЕНО",$E34,0)</f>
        <v>0</v>
      </c>
      <c r="Q34" s="21">
        <f>IF(Технологии!AX14="ИЗУЧЕНО",$E34,0)</f>
        <v>0</v>
      </c>
      <c r="R34" s="21">
        <f>IF(Технологии!AY14="ИЗУЧЕНО",$E34,0)</f>
        <v>0</v>
      </c>
      <c r="S34" s="21">
        <f>IF(Технологии!AZ14="ИЗУЧЕНО",$E34,0)</f>
        <v>0</v>
      </c>
      <c r="T34" s="21">
        <f>IF(Технологии!BA14="ИЗУЧЕНО",$E34,0)</f>
        <v>0</v>
      </c>
      <c r="U34" s="21">
        <f>IF(Технологии!BB14="ИЗУЧЕНО",$E34,0)</f>
        <v>0</v>
      </c>
      <c r="V34" s="21">
        <f>IF(Технологии!BC14="ИЗУЧЕНО",$E34,0)</f>
        <v>0</v>
      </c>
      <c r="W34" s="21">
        <f>IF(Технологии!BD14="ИЗУЧЕНО",$E34,0)</f>
        <v>0</v>
      </c>
      <c r="X34" s="21">
        <f>IF(Технологии!BE14="ИЗУЧЕНО",$E34,0)</f>
        <v>0</v>
      </c>
      <c r="Y34" s="21">
        <f>IF(Технологии!BF14="ИЗУЧЕНО",$E34,0)</f>
        <v>0</v>
      </c>
    </row>
    <row r="35" spans="1:25">
      <c r="A35" s="19" t="s">
        <v>81</v>
      </c>
      <c r="B35" s="18" t="s">
        <v>83</v>
      </c>
      <c r="C35" s="18" t="s">
        <v>276</v>
      </c>
      <c r="D35" s="18" t="s">
        <v>387</v>
      </c>
      <c r="E35" s="20">
        <v>0.2</v>
      </c>
      <c r="F35" s="18" t="str">
        <f>IF(Технологии!BH14="","",Технологии!BH14)</f>
        <v/>
      </c>
      <c r="G35" s="18" t="s">
        <v>399</v>
      </c>
      <c r="J35" s="21">
        <f>0</f>
        <v>0</v>
      </c>
      <c r="K35" s="21">
        <f>IF(Технологии!AR14="ИЗУЧЕНО",$E35,0)</f>
        <v>0</v>
      </c>
      <c r="L35" s="21">
        <f>IF(Технологии!AS14="ИЗУЧЕНО",$E35,0)</f>
        <v>0</v>
      </c>
      <c r="M35" s="21">
        <f>IF(Технологии!AT14="ИЗУЧЕНО",$E35,0)</f>
        <v>0</v>
      </c>
      <c r="N35" s="21">
        <f>IF(Технологии!AU14="ИЗУЧЕНО",$E35,0)</f>
        <v>0</v>
      </c>
      <c r="O35" s="21">
        <f>IF(Технологии!AV14="ИЗУЧЕНО",$E35,0)</f>
        <v>0</v>
      </c>
      <c r="P35" s="21">
        <f>IF(Технологии!AW14="ИЗУЧЕНО",$E35,0)</f>
        <v>0</v>
      </c>
      <c r="Q35" s="21">
        <f>IF(Технологии!AX14="ИЗУЧЕНО",$E35,0)</f>
        <v>0</v>
      </c>
      <c r="R35" s="21">
        <f>IF(Технологии!AY14="ИЗУЧЕНО",$E35,0)</f>
        <v>0</v>
      </c>
      <c r="S35" s="21">
        <f>IF(Технологии!AZ14="ИЗУЧЕНО",$E35,0)</f>
        <v>0</v>
      </c>
      <c r="T35" s="21">
        <f>IF(Технологии!BA14="ИЗУЧЕНО",$E35,0)</f>
        <v>0</v>
      </c>
      <c r="U35" s="21">
        <f>IF(Технологии!BB14="ИЗУЧЕНО",$E35,0)</f>
        <v>0</v>
      </c>
      <c r="V35" s="21">
        <f>IF(Технологии!BC14="ИЗУЧЕНО",$E35,0)</f>
        <v>0</v>
      </c>
      <c r="W35" s="21">
        <f>IF(Технологии!BD14="ИЗУЧЕНО",$E35,0)</f>
        <v>0</v>
      </c>
      <c r="X35" s="21">
        <f>IF(Технологии!BE14="ИЗУЧЕНО",$E35,0)</f>
        <v>0</v>
      </c>
      <c r="Y35" s="21">
        <f>IF(Технологии!BF14="ИЗУЧЕНО",$E35,0)</f>
        <v>0</v>
      </c>
    </row>
    <row r="36" spans="1:25">
      <c r="A36" s="19" t="s">
        <v>81</v>
      </c>
      <c r="B36" s="18" t="s">
        <v>83</v>
      </c>
      <c r="C36" s="18" t="s">
        <v>272</v>
      </c>
      <c r="D36" s="18" t="s">
        <v>387</v>
      </c>
      <c r="E36" s="20">
        <v>0.2</v>
      </c>
      <c r="F36" s="18" t="str">
        <f>IF(Технологии!BH14="","",Технологии!BH14)</f>
        <v/>
      </c>
      <c r="G36" s="18" t="s">
        <v>390</v>
      </c>
      <c r="J36" s="21">
        <f>0</f>
        <v>0</v>
      </c>
      <c r="K36" s="21">
        <f>IF(Технологии!AR14="ИЗУЧЕНО",$E36,0)</f>
        <v>0</v>
      </c>
      <c r="L36" s="21">
        <f>IF(Технологии!AS14="ИЗУЧЕНО",$E36,0)</f>
        <v>0</v>
      </c>
      <c r="M36" s="21">
        <f>IF(Технологии!AT14="ИЗУЧЕНО",$E36,0)</f>
        <v>0</v>
      </c>
      <c r="N36" s="21">
        <f>IF(Технологии!AU14="ИЗУЧЕНО",$E36,0)</f>
        <v>0</v>
      </c>
      <c r="O36" s="21">
        <f>IF(Технологии!AV14="ИЗУЧЕНО",$E36,0)</f>
        <v>0</v>
      </c>
      <c r="P36" s="21">
        <f>IF(Технологии!AW14="ИЗУЧЕНО",$E36,0)</f>
        <v>0</v>
      </c>
      <c r="Q36" s="21">
        <f>IF(Технологии!AX14="ИЗУЧЕНО",$E36,0)</f>
        <v>0</v>
      </c>
      <c r="R36" s="21">
        <f>IF(Технологии!AY14="ИЗУЧЕНО",$E36,0)</f>
        <v>0</v>
      </c>
      <c r="S36" s="21">
        <f>IF(Технологии!AZ14="ИЗУЧЕНО",$E36,0)</f>
        <v>0</v>
      </c>
      <c r="T36" s="21">
        <f>IF(Технологии!BA14="ИЗУЧЕНО",$E36,0)</f>
        <v>0</v>
      </c>
      <c r="U36" s="21">
        <f>IF(Технологии!BB14="ИЗУЧЕНО",$E36,0)</f>
        <v>0</v>
      </c>
      <c r="V36" s="21">
        <f>IF(Технологии!BC14="ИЗУЧЕНО",$E36,0)</f>
        <v>0</v>
      </c>
      <c r="W36" s="21">
        <f>IF(Технологии!BD14="ИЗУЧЕНО",$E36,0)</f>
        <v>0</v>
      </c>
      <c r="X36" s="21">
        <f>IF(Технологии!BE14="ИЗУЧЕНО",$E36,0)</f>
        <v>0</v>
      </c>
      <c r="Y36" s="21">
        <f>IF(Технологии!BF14="ИЗУЧЕНО",$E36,0)</f>
        <v>0</v>
      </c>
    </row>
    <row r="37" spans="1:25">
      <c r="A37" s="19" t="s">
        <v>81</v>
      </c>
      <c r="B37" s="18" t="s">
        <v>83</v>
      </c>
      <c r="C37" s="18" t="s">
        <v>260</v>
      </c>
      <c r="D37" s="18" t="s">
        <v>387</v>
      </c>
      <c r="E37" s="20">
        <v>-0.25</v>
      </c>
      <c r="F37" s="18" t="str">
        <f>IF(Технологии!BH14="","",Технологии!BH14)</f>
        <v/>
      </c>
      <c r="G37" s="18" t="s">
        <v>400</v>
      </c>
      <c r="J37" s="21">
        <f>0</f>
        <v>0</v>
      </c>
      <c r="K37" s="21">
        <f>IF(Технологии!AR14="ИЗУЧЕНО",$E37,0)</f>
        <v>0</v>
      </c>
      <c r="L37" s="21">
        <f>IF(Технологии!AS14="ИЗУЧЕНО",$E37,0)</f>
        <v>0</v>
      </c>
      <c r="M37" s="21">
        <f>IF(Технологии!AT14="ИЗУЧЕНО",$E37,0)</f>
        <v>0</v>
      </c>
      <c r="N37" s="21">
        <f>IF(Технологии!AU14="ИЗУЧЕНО",$E37,0)</f>
        <v>0</v>
      </c>
      <c r="O37" s="21">
        <f>IF(Технологии!AV14="ИЗУЧЕНО",$E37,0)</f>
        <v>0</v>
      </c>
      <c r="P37" s="21">
        <f>IF(Технологии!AW14="ИЗУЧЕНО",$E37,0)</f>
        <v>0</v>
      </c>
      <c r="Q37" s="21">
        <f>IF(Технологии!AX14="ИЗУЧЕНО",$E37,0)</f>
        <v>0</v>
      </c>
      <c r="R37" s="21">
        <f>IF(Технологии!AY14="ИЗУЧЕНО",$E37,0)</f>
        <v>0</v>
      </c>
      <c r="S37" s="21">
        <f>IF(Технологии!AZ14="ИЗУЧЕНО",$E37,0)</f>
        <v>0</v>
      </c>
      <c r="T37" s="21">
        <f>IF(Технологии!BA14="ИЗУЧЕНО",$E37,0)</f>
        <v>0</v>
      </c>
      <c r="U37" s="21">
        <f>IF(Технологии!BB14="ИЗУЧЕНО",$E37,0)</f>
        <v>0</v>
      </c>
      <c r="V37" s="21">
        <f>IF(Технологии!BC14="ИЗУЧЕНО",$E37,0)</f>
        <v>0</v>
      </c>
      <c r="W37" s="21">
        <f>IF(Технологии!BD14="ИЗУЧЕНО",$E37,0)</f>
        <v>0</v>
      </c>
      <c r="X37" s="21">
        <f>IF(Технологии!BE14="ИЗУЧЕНО",$E37,0)</f>
        <v>0</v>
      </c>
      <c r="Y37" s="21">
        <f>IF(Технологии!BF14="ИЗУЧЕНО",$E37,0)</f>
        <v>0</v>
      </c>
    </row>
    <row r="38" spans="1:25">
      <c r="A38" s="19" t="s">
        <v>81</v>
      </c>
      <c r="B38" s="18" t="s">
        <v>83</v>
      </c>
      <c r="C38" s="18" t="s">
        <v>266</v>
      </c>
      <c r="D38" s="18" t="s">
        <v>387</v>
      </c>
      <c r="E38" s="20">
        <v>-0.2</v>
      </c>
      <c r="F38" s="18" t="str">
        <f>IF(Технологии!BH14="","",Технологии!BH14)</f>
        <v/>
      </c>
      <c r="G38" s="18" t="s">
        <v>401</v>
      </c>
      <c r="J38" s="21">
        <f>0</f>
        <v>0</v>
      </c>
      <c r="K38" s="21">
        <f>IF(Технологии!AR14="ИЗУЧЕНО",$E38,0)</f>
        <v>0</v>
      </c>
      <c r="L38" s="21">
        <f>IF(Технологии!AS14="ИЗУЧЕНО",$E38,0)</f>
        <v>0</v>
      </c>
      <c r="M38" s="21">
        <f>IF(Технологии!AT14="ИЗУЧЕНО",$E38,0)</f>
        <v>0</v>
      </c>
      <c r="N38" s="21">
        <f>IF(Технологии!AU14="ИЗУЧЕНО",$E38,0)</f>
        <v>0</v>
      </c>
      <c r="O38" s="21">
        <f>IF(Технологии!AV14="ИЗУЧЕНО",$E38,0)</f>
        <v>0</v>
      </c>
      <c r="P38" s="21">
        <f>IF(Технологии!AW14="ИЗУЧЕНО",$E38,0)</f>
        <v>0</v>
      </c>
      <c r="Q38" s="21">
        <f>IF(Технологии!AX14="ИЗУЧЕНО",$E38,0)</f>
        <v>0</v>
      </c>
      <c r="R38" s="21">
        <f>IF(Технологии!AY14="ИЗУЧЕНО",$E38,0)</f>
        <v>0</v>
      </c>
      <c r="S38" s="21">
        <f>IF(Технологии!AZ14="ИЗУЧЕНО",$E38,0)</f>
        <v>0</v>
      </c>
      <c r="T38" s="21">
        <f>IF(Технологии!BA14="ИЗУЧЕНО",$E38,0)</f>
        <v>0</v>
      </c>
      <c r="U38" s="21">
        <f>IF(Технологии!BB14="ИЗУЧЕНО",$E38,0)</f>
        <v>0</v>
      </c>
      <c r="V38" s="21">
        <f>IF(Технологии!BC14="ИЗУЧЕНО",$E38,0)</f>
        <v>0</v>
      </c>
      <c r="W38" s="21">
        <f>IF(Технологии!BD14="ИЗУЧЕНО",$E38,0)</f>
        <v>0</v>
      </c>
      <c r="X38" s="21">
        <f>IF(Технологии!BE14="ИЗУЧЕНО",$E38,0)</f>
        <v>0</v>
      </c>
      <c r="Y38" s="21">
        <f>IF(Технологии!BF14="ИЗУЧЕНО",$E38,0)</f>
        <v>0</v>
      </c>
    </row>
    <row r="39" spans="1:25">
      <c r="A39" s="19" t="s">
        <v>86</v>
      </c>
      <c r="B39" s="18" t="s">
        <v>88</v>
      </c>
      <c r="C39" s="18" t="s">
        <v>276</v>
      </c>
      <c r="D39" s="18" t="s">
        <v>387</v>
      </c>
      <c r="E39" s="20">
        <v>0.5</v>
      </c>
      <c r="F39" s="18" t="str">
        <f>IF(Технологии!BH15="","",Технологии!BH15)</f>
        <v/>
      </c>
      <c r="G39" s="18" t="s">
        <v>402</v>
      </c>
      <c r="J39" s="21">
        <f>0</f>
        <v>0</v>
      </c>
      <c r="K39" s="21">
        <f>IF(Технологии!AR15="ИЗУЧЕНО",$E39,0)</f>
        <v>0</v>
      </c>
      <c r="L39" s="21">
        <f>IF(Технологии!AS15="ИЗУЧЕНО",$E39,0)</f>
        <v>0</v>
      </c>
      <c r="M39" s="21">
        <f>IF(Технологии!AT15="ИЗУЧЕНО",$E39,0)</f>
        <v>0</v>
      </c>
      <c r="N39" s="21">
        <f>IF(Технологии!AU15="ИЗУЧЕНО",$E39,0)</f>
        <v>0</v>
      </c>
      <c r="O39" s="21">
        <f>IF(Технологии!AV15="ИЗУЧЕНО",$E39,0)</f>
        <v>0</v>
      </c>
      <c r="P39" s="21">
        <f>IF(Технологии!AW15="ИЗУЧЕНО",$E39,0)</f>
        <v>0</v>
      </c>
      <c r="Q39" s="21">
        <f>IF(Технологии!AX15="ИЗУЧЕНО",$E39,0)</f>
        <v>0</v>
      </c>
      <c r="R39" s="21">
        <f>IF(Технологии!AY15="ИЗУЧЕНО",$E39,0)</f>
        <v>0</v>
      </c>
      <c r="S39" s="21">
        <f>IF(Технологии!AZ15="ИЗУЧЕНО",$E39,0)</f>
        <v>0</v>
      </c>
      <c r="T39" s="21">
        <f>IF(Технологии!BA15="ИЗУЧЕНО",$E39,0)</f>
        <v>0</v>
      </c>
      <c r="U39" s="21">
        <f>IF(Технологии!BB15="ИЗУЧЕНО",$E39,0)</f>
        <v>0</v>
      </c>
      <c r="V39" s="21">
        <f>IF(Технологии!BC15="ИЗУЧЕНО",$E39,0)</f>
        <v>0</v>
      </c>
      <c r="W39" s="21">
        <f>IF(Технологии!BD15="ИЗУЧЕНО",$E39,0)</f>
        <v>0</v>
      </c>
      <c r="X39" s="21">
        <f>IF(Технологии!BE15="ИЗУЧЕНО",$E39,0)</f>
        <v>0</v>
      </c>
      <c r="Y39" s="21">
        <f>IF(Технологии!BF15="ИЗУЧЕНО",$E39,0)</f>
        <v>0</v>
      </c>
    </row>
    <row r="40" spans="1:25">
      <c r="A40" s="19" t="s">
        <v>86</v>
      </c>
      <c r="B40" s="18" t="s">
        <v>88</v>
      </c>
      <c r="C40" s="18" t="s">
        <v>274</v>
      </c>
      <c r="D40" s="18" t="s">
        <v>387</v>
      </c>
      <c r="E40" s="20">
        <v>0.35</v>
      </c>
      <c r="F40" s="18" t="str">
        <f>IF(Технологии!BH15="","",Технологии!BH15)</f>
        <v/>
      </c>
      <c r="G40" s="18" t="s">
        <v>403</v>
      </c>
      <c r="J40" s="21">
        <f>0</f>
        <v>0</v>
      </c>
      <c r="K40" s="21">
        <f>IF(Технологии!AR15="ИЗУЧЕНО",$E40,0)</f>
        <v>0</v>
      </c>
      <c r="L40" s="21">
        <f>IF(Технологии!AS15="ИЗУЧЕНО",$E40,0)</f>
        <v>0</v>
      </c>
      <c r="M40" s="21">
        <f>IF(Технологии!AT15="ИЗУЧЕНО",$E40,0)</f>
        <v>0</v>
      </c>
      <c r="N40" s="21">
        <f>IF(Технологии!AU15="ИЗУЧЕНО",$E40,0)</f>
        <v>0</v>
      </c>
      <c r="O40" s="21">
        <f>IF(Технологии!AV15="ИЗУЧЕНО",$E40,0)</f>
        <v>0</v>
      </c>
      <c r="P40" s="21">
        <f>IF(Технологии!AW15="ИЗУЧЕНО",$E40,0)</f>
        <v>0</v>
      </c>
      <c r="Q40" s="21">
        <f>IF(Технологии!AX15="ИЗУЧЕНО",$E40,0)</f>
        <v>0</v>
      </c>
      <c r="R40" s="21">
        <f>IF(Технологии!AY15="ИЗУЧЕНО",$E40,0)</f>
        <v>0</v>
      </c>
      <c r="S40" s="21">
        <f>IF(Технологии!AZ15="ИЗУЧЕНО",$E40,0)</f>
        <v>0</v>
      </c>
      <c r="T40" s="21">
        <f>IF(Технологии!BA15="ИЗУЧЕНО",$E40,0)</f>
        <v>0</v>
      </c>
      <c r="U40" s="21">
        <f>IF(Технологии!BB15="ИЗУЧЕНО",$E40,0)</f>
        <v>0</v>
      </c>
      <c r="V40" s="21">
        <f>IF(Технологии!BC15="ИЗУЧЕНО",$E40,0)</f>
        <v>0</v>
      </c>
      <c r="W40" s="21">
        <f>IF(Технологии!BD15="ИЗУЧЕНО",$E40,0)</f>
        <v>0</v>
      </c>
      <c r="X40" s="21">
        <f>IF(Технологии!BE15="ИЗУЧЕНО",$E40,0)</f>
        <v>0</v>
      </c>
      <c r="Y40" s="21">
        <f>IF(Технологии!BF15="ИЗУЧЕНО",$E40,0)</f>
        <v>0</v>
      </c>
    </row>
    <row r="41" spans="1:25">
      <c r="A41" s="19" t="s">
        <v>86</v>
      </c>
      <c r="B41" s="18" t="s">
        <v>88</v>
      </c>
      <c r="C41" s="18" t="s">
        <v>300</v>
      </c>
      <c r="D41" s="18" t="s">
        <v>387</v>
      </c>
      <c r="E41" s="20">
        <v>0.25</v>
      </c>
      <c r="F41" s="18" t="str">
        <f>IF(Технологии!BH15="","",Технологии!BH15)</f>
        <v/>
      </c>
      <c r="G41" s="18" t="s">
        <v>404</v>
      </c>
      <c r="J41" s="21">
        <f>0</f>
        <v>0</v>
      </c>
      <c r="K41" s="21">
        <f>IF(Технологии!AR15="ИЗУЧЕНО",$E41,0)</f>
        <v>0</v>
      </c>
      <c r="L41" s="21">
        <f>IF(Технологии!AS15="ИЗУЧЕНО",$E41,0)</f>
        <v>0</v>
      </c>
      <c r="M41" s="21">
        <f>IF(Технологии!AT15="ИЗУЧЕНО",$E41,0)</f>
        <v>0</v>
      </c>
      <c r="N41" s="21">
        <f>IF(Технологии!AU15="ИЗУЧЕНО",$E41,0)</f>
        <v>0</v>
      </c>
      <c r="O41" s="21">
        <f>IF(Технологии!AV15="ИЗУЧЕНО",$E41,0)</f>
        <v>0</v>
      </c>
      <c r="P41" s="21">
        <f>IF(Технологии!AW15="ИЗУЧЕНО",$E41,0)</f>
        <v>0</v>
      </c>
      <c r="Q41" s="21">
        <f>IF(Технологии!AX15="ИЗУЧЕНО",$E41,0)</f>
        <v>0</v>
      </c>
      <c r="R41" s="21">
        <f>IF(Технологии!AY15="ИЗУЧЕНО",$E41,0)</f>
        <v>0</v>
      </c>
      <c r="S41" s="21">
        <f>IF(Технологии!AZ15="ИЗУЧЕНО",$E41,0)</f>
        <v>0</v>
      </c>
      <c r="T41" s="21">
        <f>IF(Технологии!BA15="ИЗУЧЕНО",$E41,0)</f>
        <v>0</v>
      </c>
      <c r="U41" s="21">
        <f>IF(Технологии!BB15="ИЗУЧЕНО",$E41,0)</f>
        <v>0</v>
      </c>
      <c r="V41" s="21">
        <f>IF(Технологии!BC15="ИЗУЧЕНО",$E41,0)</f>
        <v>0</v>
      </c>
      <c r="W41" s="21">
        <f>IF(Технологии!BD15="ИЗУЧЕНО",$E41,0)</f>
        <v>0</v>
      </c>
      <c r="X41" s="21">
        <f>IF(Технологии!BE15="ИЗУЧЕНО",$E41,0)</f>
        <v>0</v>
      </c>
      <c r="Y41" s="21">
        <f>IF(Технологии!BF15="ИЗУЧЕНО",$E41,0)</f>
        <v>0</v>
      </c>
    </row>
    <row r="42" spans="1:25">
      <c r="A42" s="19" t="s">
        <v>86</v>
      </c>
      <c r="B42" s="18" t="s">
        <v>88</v>
      </c>
      <c r="C42" s="18" t="s">
        <v>284</v>
      </c>
      <c r="D42" s="18" t="s">
        <v>387</v>
      </c>
      <c r="E42" s="20">
        <v>0.2</v>
      </c>
      <c r="F42" s="18" t="str">
        <f>IF(Технологии!BH15="","",Технологии!BH15)</f>
        <v/>
      </c>
      <c r="G42" s="18" t="s">
        <v>398</v>
      </c>
      <c r="J42" s="21">
        <f>0</f>
        <v>0</v>
      </c>
      <c r="K42" s="21">
        <f>IF(Технологии!AR15="ИЗУЧЕНО",$E42,0)</f>
        <v>0</v>
      </c>
      <c r="L42" s="21">
        <f>IF(Технологии!AS15="ИЗУЧЕНО",$E42,0)</f>
        <v>0</v>
      </c>
      <c r="M42" s="21">
        <f>IF(Технологии!AT15="ИЗУЧЕНО",$E42,0)</f>
        <v>0</v>
      </c>
      <c r="N42" s="21">
        <f>IF(Технологии!AU15="ИЗУЧЕНО",$E42,0)</f>
        <v>0</v>
      </c>
      <c r="O42" s="21">
        <f>IF(Технологии!AV15="ИЗУЧЕНО",$E42,0)</f>
        <v>0</v>
      </c>
      <c r="P42" s="21">
        <f>IF(Технологии!AW15="ИЗУЧЕНО",$E42,0)</f>
        <v>0</v>
      </c>
      <c r="Q42" s="21">
        <f>IF(Технологии!AX15="ИЗУЧЕНО",$E42,0)</f>
        <v>0</v>
      </c>
      <c r="R42" s="21">
        <f>IF(Технологии!AY15="ИЗУЧЕНО",$E42,0)</f>
        <v>0</v>
      </c>
      <c r="S42" s="21">
        <f>IF(Технологии!AZ15="ИЗУЧЕНО",$E42,0)</f>
        <v>0</v>
      </c>
      <c r="T42" s="21">
        <f>IF(Технологии!BA15="ИЗУЧЕНО",$E42,0)</f>
        <v>0</v>
      </c>
      <c r="U42" s="21">
        <f>IF(Технологии!BB15="ИЗУЧЕНО",$E42,0)</f>
        <v>0</v>
      </c>
      <c r="V42" s="21">
        <f>IF(Технологии!BC15="ИЗУЧЕНО",$E42,0)</f>
        <v>0</v>
      </c>
      <c r="W42" s="21">
        <f>IF(Технологии!BD15="ИЗУЧЕНО",$E42,0)</f>
        <v>0</v>
      </c>
      <c r="X42" s="21">
        <f>IF(Технологии!BE15="ИЗУЧЕНО",$E42,0)</f>
        <v>0</v>
      </c>
      <c r="Y42" s="21">
        <f>IF(Технологии!BF15="ИЗУЧЕНО",$E42,0)</f>
        <v>0</v>
      </c>
    </row>
    <row r="43" spans="1:25">
      <c r="A43" s="19" t="s">
        <v>86</v>
      </c>
      <c r="B43" s="18" t="s">
        <v>88</v>
      </c>
      <c r="C43" s="18" t="s">
        <v>381</v>
      </c>
      <c r="D43" s="18" t="s">
        <v>405</v>
      </c>
      <c r="E43" s="20">
        <v>0.15</v>
      </c>
      <c r="F43" s="18" t="str">
        <f>IF(Технологии!BH15="","",Технологии!BH15)</f>
        <v/>
      </c>
      <c r="G43" s="18" t="s">
        <v>406</v>
      </c>
      <c r="J43" s="21">
        <f>0</f>
        <v>0</v>
      </c>
      <c r="K43" s="21">
        <f>IF(Технологии!AR15="ИЗУЧЕНО",$E43,0)</f>
        <v>0</v>
      </c>
      <c r="L43" s="21">
        <f>IF(Технологии!AS15="ИЗУЧЕНО",$E43,0)</f>
        <v>0</v>
      </c>
      <c r="M43" s="21">
        <f>IF(Технологии!AT15="ИЗУЧЕНО",$E43,0)</f>
        <v>0</v>
      </c>
      <c r="N43" s="21">
        <f>IF(Технологии!AU15="ИЗУЧЕНО",$E43,0)</f>
        <v>0</v>
      </c>
      <c r="O43" s="21">
        <f>IF(Технологии!AV15="ИЗУЧЕНО",$E43,0)</f>
        <v>0</v>
      </c>
      <c r="P43" s="21">
        <f>IF(Технологии!AW15="ИЗУЧЕНО",$E43,0)</f>
        <v>0</v>
      </c>
      <c r="Q43" s="21">
        <f>IF(Технологии!AX15="ИЗУЧЕНО",$E43,0)</f>
        <v>0</v>
      </c>
      <c r="R43" s="21">
        <f>IF(Технологии!AY15="ИЗУЧЕНО",$E43,0)</f>
        <v>0</v>
      </c>
      <c r="S43" s="21">
        <f>IF(Технологии!AZ15="ИЗУЧЕНО",$E43,0)</f>
        <v>0</v>
      </c>
      <c r="T43" s="21">
        <f>IF(Технологии!BA15="ИЗУЧЕНО",$E43,0)</f>
        <v>0</v>
      </c>
      <c r="U43" s="21">
        <f>IF(Технологии!BB15="ИЗУЧЕНО",$E43,0)</f>
        <v>0</v>
      </c>
      <c r="V43" s="21">
        <f>IF(Технологии!BC15="ИЗУЧЕНО",$E43,0)</f>
        <v>0</v>
      </c>
      <c r="W43" s="21">
        <f>IF(Технологии!BD15="ИЗУЧЕНО",$E43,0)</f>
        <v>0</v>
      </c>
      <c r="X43" s="21">
        <f>IF(Технологии!BE15="ИЗУЧЕНО",$E43,0)</f>
        <v>0</v>
      </c>
      <c r="Y43" s="21">
        <f>IF(Технологии!BF15="ИЗУЧЕНО",$E43,0)</f>
        <v>0</v>
      </c>
    </row>
    <row r="44" spans="1:25">
      <c r="A44" s="19" t="s">
        <v>86</v>
      </c>
      <c r="B44" s="18" t="s">
        <v>88</v>
      </c>
      <c r="C44" s="18" t="s">
        <v>260</v>
      </c>
      <c r="D44" s="18" t="s">
        <v>387</v>
      </c>
      <c r="E44" s="20">
        <v>-0.35</v>
      </c>
      <c r="F44" s="18" t="str">
        <f>IF(Технологии!BH15="","",Технологии!BH15)</f>
        <v/>
      </c>
      <c r="G44" s="18" t="s">
        <v>407</v>
      </c>
      <c r="J44" s="21">
        <f>0</f>
        <v>0</v>
      </c>
      <c r="K44" s="21">
        <f>IF(Технологии!AR15="ИЗУЧЕНО",$E44,0)</f>
        <v>0</v>
      </c>
      <c r="L44" s="21">
        <f>IF(Технологии!AS15="ИЗУЧЕНО",$E44,0)</f>
        <v>0</v>
      </c>
      <c r="M44" s="21">
        <f>IF(Технологии!AT15="ИЗУЧЕНО",$E44,0)</f>
        <v>0</v>
      </c>
      <c r="N44" s="21">
        <f>IF(Технологии!AU15="ИЗУЧЕНО",$E44,0)</f>
        <v>0</v>
      </c>
      <c r="O44" s="21">
        <f>IF(Технологии!AV15="ИЗУЧЕНО",$E44,0)</f>
        <v>0</v>
      </c>
      <c r="P44" s="21">
        <f>IF(Технологии!AW15="ИЗУЧЕНО",$E44,0)</f>
        <v>0</v>
      </c>
      <c r="Q44" s="21">
        <f>IF(Технологии!AX15="ИЗУЧЕНО",$E44,0)</f>
        <v>0</v>
      </c>
      <c r="R44" s="21">
        <f>IF(Технологии!AY15="ИЗУЧЕНО",$E44,0)</f>
        <v>0</v>
      </c>
      <c r="S44" s="21">
        <f>IF(Технологии!AZ15="ИЗУЧЕНО",$E44,0)</f>
        <v>0</v>
      </c>
      <c r="T44" s="21">
        <f>IF(Технологии!BA15="ИЗУЧЕНО",$E44,0)</f>
        <v>0</v>
      </c>
      <c r="U44" s="21">
        <f>IF(Технологии!BB15="ИЗУЧЕНО",$E44,0)</f>
        <v>0</v>
      </c>
      <c r="V44" s="21">
        <f>IF(Технологии!BC15="ИЗУЧЕНО",$E44,0)</f>
        <v>0</v>
      </c>
      <c r="W44" s="21">
        <f>IF(Технологии!BD15="ИЗУЧЕНО",$E44,0)</f>
        <v>0</v>
      </c>
      <c r="X44" s="21">
        <f>IF(Технологии!BE15="ИЗУЧЕНО",$E44,0)</f>
        <v>0</v>
      </c>
      <c r="Y44" s="21">
        <f>IF(Технологии!BF15="ИЗУЧЕНО",$E44,0)</f>
        <v>0</v>
      </c>
    </row>
    <row r="45" spans="1:25">
      <c r="A45" s="19" t="s">
        <v>86</v>
      </c>
      <c r="B45" s="18" t="s">
        <v>88</v>
      </c>
      <c r="C45" s="18" t="s">
        <v>266</v>
      </c>
      <c r="D45" s="18" t="s">
        <v>387</v>
      </c>
      <c r="E45" s="20">
        <v>-0.25</v>
      </c>
      <c r="F45" s="18" t="str">
        <f>IF(Технологии!BH15="","",Технологии!BH15)</f>
        <v/>
      </c>
      <c r="G45" s="18" t="s">
        <v>408</v>
      </c>
      <c r="J45" s="21">
        <f>0</f>
        <v>0</v>
      </c>
      <c r="K45" s="21">
        <f>IF(Технологии!AR15="ИЗУЧЕНО",$E45,0)</f>
        <v>0</v>
      </c>
      <c r="L45" s="21">
        <f>IF(Технологии!AS15="ИЗУЧЕНО",$E45,0)</f>
        <v>0</v>
      </c>
      <c r="M45" s="21">
        <f>IF(Технологии!AT15="ИЗУЧЕНО",$E45,0)</f>
        <v>0</v>
      </c>
      <c r="N45" s="21">
        <f>IF(Технологии!AU15="ИЗУЧЕНО",$E45,0)</f>
        <v>0</v>
      </c>
      <c r="O45" s="21">
        <f>IF(Технологии!AV15="ИЗУЧЕНО",$E45,0)</f>
        <v>0</v>
      </c>
      <c r="P45" s="21">
        <f>IF(Технологии!AW15="ИЗУЧЕНО",$E45,0)</f>
        <v>0</v>
      </c>
      <c r="Q45" s="21">
        <f>IF(Технологии!AX15="ИЗУЧЕНО",$E45,0)</f>
        <v>0</v>
      </c>
      <c r="R45" s="21">
        <f>IF(Технологии!AY15="ИЗУЧЕНО",$E45,0)</f>
        <v>0</v>
      </c>
      <c r="S45" s="21">
        <f>IF(Технологии!AZ15="ИЗУЧЕНО",$E45,0)</f>
        <v>0</v>
      </c>
      <c r="T45" s="21">
        <f>IF(Технологии!BA15="ИЗУЧЕНО",$E45,0)</f>
        <v>0</v>
      </c>
      <c r="U45" s="21">
        <f>IF(Технологии!BB15="ИЗУЧЕНО",$E45,0)</f>
        <v>0</v>
      </c>
      <c r="V45" s="21">
        <f>IF(Технологии!BC15="ИЗУЧЕНО",$E45,0)</f>
        <v>0</v>
      </c>
      <c r="W45" s="21">
        <f>IF(Технологии!BD15="ИЗУЧЕНО",$E45,0)</f>
        <v>0</v>
      </c>
      <c r="X45" s="21">
        <f>IF(Технологии!BE15="ИЗУЧЕНО",$E45,0)</f>
        <v>0</v>
      </c>
      <c r="Y45" s="21">
        <f>IF(Технологии!BF15="ИЗУЧЕНО",$E45,0)</f>
        <v>0</v>
      </c>
    </row>
    <row r="46" spans="1:25">
      <c r="A46" s="19" t="s">
        <v>86</v>
      </c>
      <c r="B46" s="18" t="s">
        <v>88</v>
      </c>
      <c r="C46" s="18" t="s">
        <v>268</v>
      </c>
      <c r="D46" s="18" t="s">
        <v>387</v>
      </c>
      <c r="E46" s="20">
        <v>-0.2</v>
      </c>
      <c r="F46" s="18" t="str">
        <f>IF(Технологии!BH15="","",Технологии!BH15)</f>
        <v/>
      </c>
      <c r="G46" s="18" t="s">
        <v>409</v>
      </c>
      <c r="J46" s="21">
        <f>0</f>
        <v>0</v>
      </c>
      <c r="K46" s="21">
        <f>IF(Технологии!AR15="ИЗУЧЕНО",$E46,0)</f>
        <v>0</v>
      </c>
      <c r="L46" s="21">
        <f>IF(Технологии!AS15="ИЗУЧЕНО",$E46,0)</f>
        <v>0</v>
      </c>
      <c r="M46" s="21">
        <f>IF(Технологии!AT15="ИЗУЧЕНО",$E46,0)</f>
        <v>0</v>
      </c>
      <c r="N46" s="21">
        <f>IF(Технологии!AU15="ИЗУЧЕНО",$E46,0)</f>
        <v>0</v>
      </c>
      <c r="O46" s="21">
        <f>IF(Технологии!AV15="ИЗУЧЕНО",$E46,0)</f>
        <v>0</v>
      </c>
      <c r="P46" s="21">
        <f>IF(Технологии!AW15="ИЗУЧЕНО",$E46,0)</f>
        <v>0</v>
      </c>
      <c r="Q46" s="21">
        <f>IF(Технологии!AX15="ИЗУЧЕНО",$E46,0)</f>
        <v>0</v>
      </c>
      <c r="R46" s="21">
        <f>IF(Технологии!AY15="ИЗУЧЕНО",$E46,0)</f>
        <v>0</v>
      </c>
      <c r="S46" s="21">
        <f>IF(Технологии!AZ15="ИЗУЧЕНО",$E46,0)</f>
        <v>0</v>
      </c>
      <c r="T46" s="21">
        <f>IF(Технологии!BA15="ИЗУЧЕНО",$E46,0)</f>
        <v>0</v>
      </c>
      <c r="U46" s="21">
        <f>IF(Технологии!BB15="ИЗУЧЕНО",$E46,0)</f>
        <v>0</v>
      </c>
      <c r="V46" s="21">
        <f>IF(Технологии!BC15="ИЗУЧЕНО",$E46,0)</f>
        <v>0</v>
      </c>
      <c r="W46" s="21">
        <f>IF(Технологии!BD15="ИЗУЧЕНО",$E46,0)</f>
        <v>0</v>
      </c>
      <c r="X46" s="21">
        <f>IF(Технологии!BE15="ИЗУЧЕНО",$E46,0)</f>
        <v>0</v>
      </c>
      <c r="Y46" s="21">
        <f>IF(Технологии!BF15="ИЗУЧЕНО",$E46,0)</f>
        <v>0</v>
      </c>
    </row>
    <row r="47" spans="1:25">
      <c r="A47" s="19" t="s">
        <v>91</v>
      </c>
      <c r="B47" s="18" t="s">
        <v>93</v>
      </c>
      <c r="C47" s="18" t="s">
        <v>272</v>
      </c>
      <c r="D47" s="18" t="s">
        <v>387</v>
      </c>
      <c r="E47" s="20">
        <v>0.5</v>
      </c>
      <c r="F47" s="18" t="str">
        <f>IF(Технологии!BH16="","",Технологии!BH16)</f>
        <v/>
      </c>
      <c r="G47" s="18" t="s">
        <v>410</v>
      </c>
      <c r="J47" s="21">
        <f>0</f>
        <v>0</v>
      </c>
      <c r="K47" s="21">
        <f>IF(Технологии!AR16="ИЗУЧЕНО",$E47,0)</f>
        <v>0</v>
      </c>
      <c r="L47" s="21">
        <f>IF(Технологии!AS16="ИЗУЧЕНО",$E47,0)</f>
        <v>0</v>
      </c>
      <c r="M47" s="21">
        <f>IF(Технологии!AT16="ИЗУЧЕНО",$E47,0)</f>
        <v>0</v>
      </c>
      <c r="N47" s="21">
        <f>IF(Технологии!AU16="ИЗУЧЕНО",$E47,0)</f>
        <v>0</v>
      </c>
      <c r="O47" s="21">
        <f>IF(Технологии!AV16="ИЗУЧЕНО",$E47,0)</f>
        <v>0</v>
      </c>
      <c r="P47" s="21">
        <f>IF(Технологии!AW16="ИЗУЧЕНО",$E47,0)</f>
        <v>0</v>
      </c>
      <c r="Q47" s="21">
        <f>IF(Технологии!AX16="ИЗУЧЕНО",$E47,0)</f>
        <v>0</v>
      </c>
      <c r="R47" s="21">
        <f>IF(Технологии!AY16="ИЗУЧЕНО",$E47,0)</f>
        <v>0</v>
      </c>
      <c r="S47" s="21">
        <f>IF(Технологии!AZ16="ИЗУЧЕНО",$E47,0)</f>
        <v>0</v>
      </c>
      <c r="T47" s="21">
        <f>IF(Технологии!BA16="ИЗУЧЕНО",$E47,0)</f>
        <v>0</v>
      </c>
      <c r="U47" s="21">
        <f>IF(Технологии!BB16="ИЗУЧЕНО",$E47,0)</f>
        <v>0</v>
      </c>
      <c r="V47" s="21">
        <f>IF(Технологии!BC16="ИЗУЧЕНО",$E47,0)</f>
        <v>0</v>
      </c>
      <c r="W47" s="21">
        <f>IF(Технологии!BD16="ИЗУЧЕНО",$E47,0)</f>
        <v>0</v>
      </c>
      <c r="X47" s="21">
        <f>IF(Технологии!BE16="ИЗУЧЕНО",$E47,0)</f>
        <v>0</v>
      </c>
      <c r="Y47" s="21">
        <f>IF(Технологии!BF16="ИЗУЧЕНО",$E47,0)</f>
        <v>0</v>
      </c>
    </row>
    <row r="48" spans="1:25">
      <c r="A48" s="19" t="s">
        <v>91</v>
      </c>
      <c r="B48" s="18" t="s">
        <v>93</v>
      </c>
      <c r="C48" s="18" t="s">
        <v>285</v>
      </c>
      <c r="D48" s="18" t="s">
        <v>387</v>
      </c>
      <c r="E48" s="20">
        <v>0.35</v>
      </c>
      <c r="F48" s="18" t="str">
        <f>IF(Технологии!BH16="","",Технологии!BH16)</f>
        <v/>
      </c>
      <c r="G48" s="18" t="s">
        <v>411</v>
      </c>
      <c r="J48" s="21">
        <f>0</f>
        <v>0</v>
      </c>
      <c r="K48" s="21">
        <f>IF(Технологии!AR16="ИЗУЧЕНО",$E48,0)</f>
        <v>0</v>
      </c>
      <c r="L48" s="21">
        <f>IF(Технологии!AS16="ИЗУЧЕНО",$E48,0)</f>
        <v>0</v>
      </c>
      <c r="M48" s="21">
        <f>IF(Технологии!AT16="ИЗУЧЕНО",$E48,0)</f>
        <v>0</v>
      </c>
      <c r="N48" s="21">
        <f>IF(Технологии!AU16="ИЗУЧЕНО",$E48,0)</f>
        <v>0</v>
      </c>
      <c r="O48" s="21">
        <f>IF(Технологии!AV16="ИЗУЧЕНО",$E48,0)</f>
        <v>0</v>
      </c>
      <c r="P48" s="21">
        <f>IF(Технологии!AW16="ИЗУЧЕНО",$E48,0)</f>
        <v>0</v>
      </c>
      <c r="Q48" s="21">
        <f>IF(Технологии!AX16="ИЗУЧЕНО",$E48,0)</f>
        <v>0</v>
      </c>
      <c r="R48" s="21">
        <f>IF(Технологии!AY16="ИЗУЧЕНО",$E48,0)</f>
        <v>0</v>
      </c>
      <c r="S48" s="21">
        <f>IF(Технологии!AZ16="ИЗУЧЕНО",$E48,0)</f>
        <v>0</v>
      </c>
      <c r="T48" s="21">
        <f>IF(Технологии!BA16="ИЗУЧЕНО",$E48,0)</f>
        <v>0</v>
      </c>
      <c r="U48" s="21">
        <f>IF(Технологии!BB16="ИЗУЧЕНО",$E48,0)</f>
        <v>0</v>
      </c>
      <c r="V48" s="21">
        <f>IF(Технологии!BC16="ИЗУЧЕНО",$E48,0)</f>
        <v>0</v>
      </c>
      <c r="W48" s="21">
        <f>IF(Технологии!BD16="ИЗУЧЕНО",$E48,0)</f>
        <v>0</v>
      </c>
      <c r="X48" s="21">
        <f>IF(Технологии!BE16="ИЗУЧЕНО",$E48,0)</f>
        <v>0</v>
      </c>
      <c r="Y48" s="21">
        <f>IF(Технологии!BF16="ИЗУЧЕНО",$E48,0)</f>
        <v>0</v>
      </c>
    </row>
    <row r="49" spans="1:25">
      <c r="A49" s="19" t="s">
        <v>91</v>
      </c>
      <c r="B49" s="18" t="s">
        <v>93</v>
      </c>
      <c r="C49" s="18" t="s">
        <v>270</v>
      </c>
      <c r="D49" s="18" t="s">
        <v>387</v>
      </c>
      <c r="E49" s="20">
        <v>0.35</v>
      </c>
      <c r="F49" s="18" t="str">
        <f>IF(Технологии!BH16="","",Технологии!BH16)</f>
        <v/>
      </c>
      <c r="G49" s="18" t="s">
        <v>412</v>
      </c>
      <c r="J49" s="21">
        <f>0</f>
        <v>0</v>
      </c>
      <c r="K49" s="21">
        <f>IF(Технологии!AR16="ИЗУЧЕНО",$E49,0)</f>
        <v>0</v>
      </c>
      <c r="L49" s="21">
        <f>IF(Технологии!AS16="ИЗУЧЕНО",$E49,0)</f>
        <v>0</v>
      </c>
      <c r="M49" s="21">
        <f>IF(Технологии!AT16="ИЗУЧЕНО",$E49,0)</f>
        <v>0</v>
      </c>
      <c r="N49" s="21">
        <f>IF(Технологии!AU16="ИЗУЧЕНО",$E49,0)</f>
        <v>0</v>
      </c>
      <c r="O49" s="21">
        <f>IF(Технологии!AV16="ИЗУЧЕНО",$E49,0)</f>
        <v>0</v>
      </c>
      <c r="P49" s="21">
        <f>IF(Технологии!AW16="ИЗУЧЕНО",$E49,0)</f>
        <v>0</v>
      </c>
      <c r="Q49" s="21">
        <f>IF(Технологии!AX16="ИЗУЧЕНО",$E49,0)</f>
        <v>0</v>
      </c>
      <c r="R49" s="21">
        <f>IF(Технологии!AY16="ИЗУЧЕНО",$E49,0)</f>
        <v>0</v>
      </c>
      <c r="S49" s="21">
        <f>IF(Технологии!AZ16="ИЗУЧЕНО",$E49,0)</f>
        <v>0</v>
      </c>
      <c r="T49" s="21">
        <f>IF(Технологии!BA16="ИЗУЧЕНО",$E49,0)</f>
        <v>0</v>
      </c>
      <c r="U49" s="21">
        <f>IF(Технологии!BB16="ИЗУЧЕНО",$E49,0)</f>
        <v>0</v>
      </c>
      <c r="V49" s="21">
        <f>IF(Технологии!BC16="ИЗУЧЕНО",$E49,0)</f>
        <v>0</v>
      </c>
      <c r="W49" s="21">
        <f>IF(Технологии!BD16="ИЗУЧЕНО",$E49,0)</f>
        <v>0</v>
      </c>
      <c r="X49" s="21">
        <f>IF(Технологии!BE16="ИЗУЧЕНО",$E49,0)</f>
        <v>0</v>
      </c>
      <c r="Y49" s="21">
        <f>IF(Технологии!BF16="ИЗУЧЕНО",$E49,0)</f>
        <v>0</v>
      </c>
    </row>
    <row r="50" spans="1:25">
      <c r="A50" s="19" t="s">
        <v>91</v>
      </c>
      <c r="B50" s="18" t="s">
        <v>93</v>
      </c>
      <c r="C50" s="18" t="s">
        <v>291</v>
      </c>
      <c r="D50" s="18" t="s">
        <v>387</v>
      </c>
      <c r="E50" s="20">
        <v>0.25</v>
      </c>
      <c r="F50" s="18" t="str">
        <f>IF(Технологии!BH16="","",Технологии!BH16)</f>
        <v/>
      </c>
      <c r="G50" s="18" t="s">
        <v>413</v>
      </c>
      <c r="J50" s="21">
        <f>0</f>
        <v>0</v>
      </c>
      <c r="K50" s="21">
        <f>IF(Технологии!AR16="ИЗУЧЕНО",$E50,0)</f>
        <v>0</v>
      </c>
      <c r="L50" s="21">
        <f>IF(Технологии!AS16="ИЗУЧЕНО",$E50,0)</f>
        <v>0</v>
      </c>
      <c r="M50" s="21">
        <f>IF(Технологии!AT16="ИЗУЧЕНО",$E50,0)</f>
        <v>0</v>
      </c>
      <c r="N50" s="21">
        <f>IF(Технологии!AU16="ИЗУЧЕНО",$E50,0)</f>
        <v>0</v>
      </c>
      <c r="O50" s="21">
        <f>IF(Технологии!AV16="ИЗУЧЕНО",$E50,0)</f>
        <v>0</v>
      </c>
      <c r="P50" s="21">
        <f>IF(Технологии!AW16="ИЗУЧЕНО",$E50,0)</f>
        <v>0</v>
      </c>
      <c r="Q50" s="21">
        <f>IF(Технологии!AX16="ИЗУЧЕНО",$E50,0)</f>
        <v>0</v>
      </c>
      <c r="R50" s="21">
        <f>IF(Технологии!AY16="ИЗУЧЕНО",$E50,0)</f>
        <v>0</v>
      </c>
      <c r="S50" s="21">
        <f>IF(Технологии!AZ16="ИЗУЧЕНО",$E50,0)</f>
        <v>0</v>
      </c>
      <c r="T50" s="21">
        <f>IF(Технологии!BA16="ИЗУЧЕНО",$E50,0)</f>
        <v>0</v>
      </c>
      <c r="U50" s="21">
        <f>IF(Технологии!BB16="ИЗУЧЕНО",$E50,0)</f>
        <v>0</v>
      </c>
      <c r="V50" s="21">
        <f>IF(Технологии!BC16="ИЗУЧЕНО",$E50,0)</f>
        <v>0</v>
      </c>
      <c r="W50" s="21">
        <f>IF(Технологии!BD16="ИЗУЧЕНО",$E50,0)</f>
        <v>0</v>
      </c>
      <c r="X50" s="21">
        <f>IF(Технологии!BE16="ИЗУЧЕНО",$E50,0)</f>
        <v>0</v>
      </c>
      <c r="Y50" s="21">
        <f>IF(Технологии!BF16="ИЗУЧЕНО",$E50,0)</f>
        <v>0</v>
      </c>
    </row>
    <row r="51" spans="1:25">
      <c r="A51" s="19" t="s">
        <v>91</v>
      </c>
      <c r="B51" s="18" t="s">
        <v>93</v>
      </c>
      <c r="C51" s="18" t="s">
        <v>274</v>
      </c>
      <c r="D51" s="18" t="s">
        <v>414</v>
      </c>
      <c r="E51" s="20">
        <v>0.1</v>
      </c>
      <c r="F51" s="18" t="str">
        <f>IF(Технологии!BH16="","",Технологии!BH16)</f>
        <v/>
      </c>
      <c r="G51" s="18" t="s">
        <v>415</v>
      </c>
      <c r="J51" s="21">
        <f>0</f>
        <v>0</v>
      </c>
      <c r="K51" s="21">
        <f>IF(Технологии!AR16="ИЗУЧЕНО",$E51,0)</f>
        <v>0</v>
      </c>
      <c r="L51" s="21">
        <f>IF(Технологии!AS16="ИЗУЧЕНО",$E51,0)</f>
        <v>0</v>
      </c>
      <c r="M51" s="21">
        <f>IF(Технологии!AT16="ИЗУЧЕНО",$E51,0)</f>
        <v>0</v>
      </c>
      <c r="N51" s="21">
        <f>IF(Технологии!AU16="ИЗУЧЕНО",$E51,0)</f>
        <v>0</v>
      </c>
      <c r="O51" s="21">
        <f>IF(Технологии!AV16="ИЗУЧЕНО",$E51,0)</f>
        <v>0</v>
      </c>
      <c r="P51" s="21">
        <f>IF(Технологии!AW16="ИЗУЧЕНО",$E51,0)</f>
        <v>0</v>
      </c>
      <c r="Q51" s="21">
        <f>IF(Технологии!AX16="ИЗУЧЕНО",$E51,0)</f>
        <v>0</v>
      </c>
      <c r="R51" s="21">
        <f>IF(Технологии!AY16="ИЗУЧЕНО",$E51,0)</f>
        <v>0</v>
      </c>
      <c r="S51" s="21">
        <f>IF(Технологии!AZ16="ИЗУЧЕНО",$E51,0)</f>
        <v>0</v>
      </c>
      <c r="T51" s="21">
        <f>IF(Технологии!BA16="ИЗУЧЕНО",$E51,0)</f>
        <v>0</v>
      </c>
      <c r="U51" s="21">
        <f>IF(Технологии!BB16="ИЗУЧЕНО",$E51,0)</f>
        <v>0</v>
      </c>
      <c r="V51" s="21">
        <f>IF(Технологии!BC16="ИЗУЧЕНО",$E51,0)</f>
        <v>0</v>
      </c>
      <c r="W51" s="21">
        <f>IF(Технологии!BD16="ИЗУЧЕНО",$E51,0)</f>
        <v>0</v>
      </c>
      <c r="X51" s="21">
        <f>IF(Технологии!BE16="ИЗУЧЕНО",$E51,0)</f>
        <v>0</v>
      </c>
      <c r="Y51" s="21">
        <f>IF(Технологии!BF16="ИЗУЧЕНО",$E51,0)</f>
        <v>0</v>
      </c>
    </row>
    <row r="52" spans="1:25">
      <c r="A52" s="19" t="s">
        <v>91</v>
      </c>
      <c r="B52" s="18" t="s">
        <v>93</v>
      </c>
      <c r="C52" s="18" t="s">
        <v>372</v>
      </c>
      <c r="D52" s="18" t="s">
        <v>405</v>
      </c>
      <c r="E52" s="20">
        <v>0.1</v>
      </c>
      <c r="F52" s="18" t="str">
        <f>IF(Технологии!BH16="","",Технологии!BH16)</f>
        <v/>
      </c>
      <c r="G52" s="18" t="s">
        <v>416</v>
      </c>
      <c r="J52" s="21">
        <f>0</f>
        <v>0</v>
      </c>
      <c r="K52" s="21">
        <f>IF(Технологии!AR16="ИЗУЧЕНО",$E52,0)</f>
        <v>0</v>
      </c>
      <c r="L52" s="21">
        <f>IF(Технологии!AS16="ИЗУЧЕНО",$E52,0)</f>
        <v>0</v>
      </c>
      <c r="M52" s="21">
        <f>IF(Технологии!AT16="ИЗУЧЕНО",$E52,0)</f>
        <v>0</v>
      </c>
      <c r="N52" s="21">
        <f>IF(Технологии!AU16="ИЗУЧЕНО",$E52,0)</f>
        <v>0</v>
      </c>
      <c r="O52" s="21">
        <f>IF(Технологии!AV16="ИЗУЧЕНО",$E52,0)</f>
        <v>0</v>
      </c>
      <c r="P52" s="21">
        <f>IF(Технологии!AW16="ИЗУЧЕНО",$E52,0)</f>
        <v>0</v>
      </c>
      <c r="Q52" s="21">
        <f>IF(Технологии!AX16="ИЗУЧЕНО",$E52,0)</f>
        <v>0</v>
      </c>
      <c r="R52" s="21">
        <f>IF(Технологии!AY16="ИЗУЧЕНО",$E52,0)</f>
        <v>0</v>
      </c>
      <c r="S52" s="21">
        <f>IF(Технологии!AZ16="ИЗУЧЕНО",$E52,0)</f>
        <v>0</v>
      </c>
      <c r="T52" s="21">
        <f>IF(Технологии!BA16="ИЗУЧЕНО",$E52,0)</f>
        <v>0</v>
      </c>
      <c r="U52" s="21">
        <f>IF(Технологии!BB16="ИЗУЧЕНО",$E52,0)</f>
        <v>0</v>
      </c>
      <c r="V52" s="21">
        <f>IF(Технологии!BC16="ИЗУЧЕНО",$E52,0)</f>
        <v>0</v>
      </c>
      <c r="W52" s="21">
        <f>IF(Технологии!BD16="ИЗУЧЕНО",$E52,0)</f>
        <v>0</v>
      </c>
      <c r="X52" s="21">
        <f>IF(Технологии!BE16="ИЗУЧЕНО",$E52,0)</f>
        <v>0</v>
      </c>
      <c r="Y52" s="21">
        <f>IF(Технологии!BF16="ИЗУЧЕНО",$E52,0)</f>
        <v>0</v>
      </c>
    </row>
    <row r="53" spans="1:25">
      <c r="A53" s="19" t="s">
        <v>91</v>
      </c>
      <c r="B53" s="18" t="s">
        <v>93</v>
      </c>
      <c r="C53" s="18" t="s">
        <v>256</v>
      </c>
      <c r="D53" s="18" t="s">
        <v>387</v>
      </c>
      <c r="E53" s="20">
        <v>-0.45</v>
      </c>
      <c r="F53" s="18" t="str">
        <f>IF(Технологии!BH16="","",Технологии!BH16)</f>
        <v/>
      </c>
      <c r="G53" s="18" t="s">
        <v>417</v>
      </c>
      <c r="J53" s="21">
        <f>0</f>
        <v>0</v>
      </c>
      <c r="K53" s="21">
        <f>IF(Технологии!AR16="ИЗУЧЕНО",$E53,0)</f>
        <v>0</v>
      </c>
      <c r="L53" s="21">
        <f>IF(Технологии!AS16="ИЗУЧЕНО",$E53,0)</f>
        <v>0</v>
      </c>
      <c r="M53" s="21">
        <f>IF(Технологии!AT16="ИЗУЧЕНО",$E53,0)</f>
        <v>0</v>
      </c>
      <c r="N53" s="21">
        <f>IF(Технологии!AU16="ИЗУЧЕНО",$E53,0)</f>
        <v>0</v>
      </c>
      <c r="O53" s="21">
        <f>IF(Технологии!AV16="ИЗУЧЕНО",$E53,0)</f>
        <v>0</v>
      </c>
      <c r="P53" s="21">
        <f>IF(Технологии!AW16="ИЗУЧЕНО",$E53,0)</f>
        <v>0</v>
      </c>
      <c r="Q53" s="21">
        <f>IF(Технологии!AX16="ИЗУЧЕНО",$E53,0)</f>
        <v>0</v>
      </c>
      <c r="R53" s="21">
        <f>IF(Технологии!AY16="ИЗУЧЕНО",$E53,0)</f>
        <v>0</v>
      </c>
      <c r="S53" s="21">
        <f>IF(Технологии!AZ16="ИЗУЧЕНО",$E53,0)</f>
        <v>0</v>
      </c>
      <c r="T53" s="21">
        <f>IF(Технологии!BA16="ИЗУЧЕНО",$E53,0)</f>
        <v>0</v>
      </c>
      <c r="U53" s="21">
        <f>IF(Технологии!BB16="ИЗУЧЕНО",$E53,0)</f>
        <v>0</v>
      </c>
      <c r="V53" s="21">
        <f>IF(Технологии!BC16="ИЗУЧЕНО",$E53,0)</f>
        <v>0</v>
      </c>
      <c r="W53" s="21">
        <f>IF(Технологии!BD16="ИЗУЧЕНО",$E53,0)</f>
        <v>0</v>
      </c>
      <c r="X53" s="21">
        <f>IF(Технологии!BE16="ИЗУЧЕНО",$E53,0)</f>
        <v>0</v>
      </c>
      <c r="Y53" s="21">
        <f>IF(Технологии!BF16="ИЗУЧЕНО",$E53,0)</f>
        <v>0</v>
      </c>
    </row>
    <row r="54" spans="1:25">
      <c r="A54" s="19" t="s">
        <v>91</v>
      </c>
      <c r="B54" s="18" t="s">
        <v>93</v>
      </c>
      <c r="C54" s="18" t="s">
        <v>260</v>
      </c>
      <c r="D54" s="18" t="s">
        <v>387</v>
      </c>
      <c r="E54" s="20">
        <v>-0.5</v>
      </c>
      <c r="F54" s="18" t="str">
        <f>IF(Технологии!BH16="","",Технологии!BH16)</f>
        <v/>
      </c>
      <c r="G54" s="18" t="s">
        <v>418</v>
      </c>
      <c r="J54" s="21">
        <f>0</f>
        <v>0</v>
      </c>
      <c r="K54" s="21">
        <f>IF(Технологии!AR16="ИЗУЧЕНО",$E54,0)</f>
        <v>0</v>
      </c>
      <c r="L54" s="21">
        <f>IF(Технологии!AS16="ИЗУЧЕНО",$E54,0)</f>
        <v>0</v>
      </c>
      <c r="M54" s="21">
        <f>IF(Технологии!AT16="ИЗУЧЕНО",$E54,0)</f>
        <v>0</v>
      </c>
      <c r="N54" s="21">
        <f>IF(Технологии!AU16="ИЗУЧЕНО",$E54,0)</f>
        <v>0</v>
      </c>
      <c r="O54" s="21">
        <f>IF(Технологии!AV16="ИЗУЧЕНО",$E54,0)</f>
        <v>0</v>
      </c>
      <c r="P54" s="21">
        <f>IF(Технологии!AW16="ИЗУЧЕНО",$E54,0)</f>
        <v>0</v>
      </c>
      <c r="Q54" s="21">
        <f>IF(Технологии!AX16="ИЗУЧЕНО",$E54,0)</f>
        <v>0</v>
      </c>
      <c r="R54" s="21">
        <f>IF(Технологии!AY16="ИЗУЧЕНО",$E54,0)</f>
        <v>0</v>
      </c>
      <c r="S54" s="21">
        <f>IF(Технологии!AZ16="ИЗУЧЕНО",$E54,0)</f>
        <v>0</v>
      </c>
      <c r="T54" s="21">
        <f>IF(Технологии!BA16="ИЗУЧЕНО",$E54,0)</f>
        <v>0</v>
      </c>
      <c r="U54" s="21">
        <f>IF(Технологии!BB16="ИЗУЧЕНО",$E54,0)</f>
        <v>0</v>
      </c>
      <c r="V54" s="21">
        <f>IF(Технологии!BC16="ИЗУЧЕНО",$E54,0)</f>
        <v>0</v>
      </c>
      <c r="W54" s="21">
        <f>IF(Технологии!BD16="ИЗУЧЕНО",$E54,0)</f>
        <v>0</v>
      </c>
      <c r="X54" s="21">
        <f>IF(Технологии!BE16="ИЗУЧЕНО",$E54,0)</f>
        <v>0</v>
      </c>
      <c r="Y54" s="21">
        <f>IF(Технологии!BF16="ИЗУЧЕНО",$E54,0)</f>
        <v>0</v>
      </c>
    </row>
    <row r="55" spans="1:25">
      <c r="A55" s="19" t="s">
        <v>91</v>
      </c>
      <c r="B55" s="18" t="s">
        <v>93</v>
      </c>
      <c r="C55" s="18" t="s">
        <v>266</v>
      </c>
      <c r="D55" s="18" t="s">
        <v>387</v>
      </c>
      <c r="E55" s="20">
        <v>-0.4</v>
      </c>
      <c r="F55" s="18" t="str">
        <f>IF(Технологии!BH16="","",Технологии!BH16)</f>
        <v/>
      </c>
      <c r="G55" s="18" t="s">
        <v>419</v>
      </c>
      <c r="J55" s="21">
        <f>0</f>
        <v>0</v>
      </c>
      <c r="K55" s="21">
        <f>IF(Технологии!AR16="ИЗУЧЕНО",$E55,0)</f>
        <v>0</v>
      </c>
      <c r="L55" s="21">
        <f>IF(Технологии!AS16="ИЗУЧЕНО",$E55,0)</f>
        <v>0</v>
      </c>
      <c r="M55" s="21">
        <f>IF(Технологии!AT16="ИЗУЧЕНО",$E55,0)</f>
        <v>0</v>
      </c>
      <c r="N55" s="21">
        <f>IF(Технологии!AU16="ИЗУЧЕНО",$E55,0)</f>
        <v>0</v>
      </c>
      <c r="O55" s="21">
        <f>IF(Технологии!AV16="ИЗУЧЕНО",$E55,0)</f>
        <v>0</v>
      </c>
      <c r="P55" s="21">
        <f>IF(Технологии!AW16="ИЗУЧЕНО",$E55,0)</f>
        <v>0</v>
      </c>
      <c r="Q55" s="21">
        <f>IF(Технологии!AX16="ИЗУЧЕНО",$E55,0)</f>
        <v>0</v>
      </c>
      <c r="R55" s="21">
        <f>IF(Технологии!AY16="ИЗУЧЕНО",$E55,0)</f>
        <v>0</v>
      </c>
      <c r="S55" s="21">
        <f>IF(Технологии!AZ16="ИЗУЧЕНО",$E55,0)</f>
        <v>0</v>
      </c>
      <c r="T55" s="21">
        <f>IF(Технологии!BA16="ИЗУЧЕНО",$E55,0)</f>
        <v>0</v>
      </c>
      <c r="U55" s="21">
        <f>IF(Технологии!BB16="ИЗУЧЕНО",$E55,0)</f>
        <v>0</v>
      </c>
      <c r="V55" s="21">
        <f>IF(Технологии!BC16="ИЗУЧЕНО",$E55,0)</f>
        <v>0</v>
      </c>
      <c r="W55" s="21">
        <f>IF(Технологии!BD16="ИЗУЧЕНО",$E55,0)</f>
        <v>0</v>
      </c>
      <c r="X55" s="21">
        <f>IF(Технологии!BE16="ИЗУЧЕНО",$E55,0)</f>
        <v>0</v>
      </c>
      <c r="Y55" s="21">
        <f>IF(Технологии!BF16="ИЗУЧЕНО",$E55,0)</f>
        <v>0</v>
      </c>
    </row>
    <row r="56" spans="1:25">
      <c r="A56" s="19" t="s">
        <v>91</v>
      </c>
      <c r="B56" s="18" t="s">
        <v>93</v>
      </c>
      <c r="C56" s="18" t="s">
        <v>268</v>
      </c>
      <c r="D56" s="18" t="s">
        <v>387</v>
      </c>
      <c r="E56" s="20">
        <v>-0.3</v>
      </c>
      <c r="F56" s="18" t="str">
        <f>IF(Технологии!BH16="","",Технологии!BH16)</f>
        <v/>
      </c>
      <c r="G56" s="18" t="s">
        <v>420</v>
      </c>
      <c r="J56" s="21">
        <f>0</f>
        <v>0</v>
      </c>
      <c r="K56" s="21">
        <f>IF(Технологии!AR16="ИЗУЧЕНО",$E56,0)</f>
        <v>0</v>
      </c>
      <c r="L56" s="21">
        <f>IF(Технологии!AS16="ИЗУЧЕНО",$E56,0)</f>
        <v>0</v>
      </c>
      <c r="M56" s="21">
        <f>IF(Технологии!AT16="ИЗУЧЕНО",$E56,0)</f>
        <v>0</v>
      </c>
      <c r="N56" s="21">
        <f>IF(Технологии!AU16="ИЗУЧЕНО",$E56,0)</f>
        <v>0</v>
      </c>
      <c r="O56" s="21">
        <f>IF(Технологии!AV16="ИЗУЧЕНО",$E56,0)</f>
        <v>0</v>
      </c>
      <c r="P56" s="21">
        <f>IF(Технологии!AW16="ИЗУЧЕНО",$E56,0)</f>
        <v>0</v>
      </c>
      <c r="Q56" s="21">
        <f>IF(Технологии!AX16="ИЗУЧЕНО",$E56,0)</f>
        <v>0</v>
      </c>
      <c r="R56" s="21">
        <f>IF(Технологии!AY16="ИЗУЧЕНО",$E56,0)</f>
        <v>0</v>
      </c>
      <c r="S56" s="21">
        <f>IF(Технологии!AZ16="ИЗУЧЕНО",$E56,0)</f>
        <v>0</v>
      </c>
      <c r="T56" s="21">
        <f>IF(Технологии!BA16="ИЗУЧЕНО",$E56,0)</f>
        <v>0</v>
      </c>
      <c r="U56" s="21">
        <f>IF(Технологии!BB16="ИЗУЧЕНО",$E56,0)</f>
        <v>0</v>
      </c>
      <c r="V56" s="21">
        <f>IF(Технологии!BC16="ИЗУЧЕНО",$E56,0)</f>
        <v>0</v>
      </c>
      <c r="W56" s="21">
        <f>IF(Технологии!BD16="ИЗУЧЕНО",$E56,0)</f>
        <v>0</v>
      </c>
      <c r="X56" s="21">
        <f>IF(Технологии!BE16="ИЗУЧЕНО",$E56,0)</f>
        <v>0</v>
      </c>
      <c r="Y56" s="21">
        <f>IF(Технологии!BF16="ИЗУЧЕНО",$E56,0)</f>
        <v>0</v>
      </c>
    </row>
    <row r="57" spans="1:25">
      <c r="A57" s="19" t="s">
        <v>96</v>
      </c>
      <c r="B57" s="18" t="s">
        <v>98</v>
      </c>
      <c r="C57" s="18" t="s">
        <v>286</v>
      </c>
      <c r="D57" s="18" t="s">
        <v>387</v>
      </c>
      <c r="E57" s="20">
        <v>0.2</v>
      </c>
      <c r="F57" s="18" t="str">
        <f>IF(Технологии!BH17="","",Технологии!BH17)</f>
        <v/>
      </c>
      <c r="G57" s="18" t="s">
        <v>421</v>
      </c>
      <c r="J57" s="21">
        <f>0</f>
        <v>0</v>
      </c>
      <c r="K57" s="21">
        <f>IF(Технологии!AR17="ИЗУЧЕНО",$E57,0)</f>
        <v>0</v>
      </c>
      <c r="L57" s="21">
        <f>IF(Технологии!AS17="ИЗУЧЕНО",$E57,0)</f>
        <v>0</v>
      </c>
      <c r="M57" s="21">
        <f>IF(Технологии!AT17="ИЗУЧЕНО",$E57,0)</f>
        <v>0</v>
      </c>
      <c r="N57" s="21">
        <f>IF(Технологии!AU17="ИЗУЧЕНО",$E57,0)</f>
        <v>0</v>
      </c>
      <c r="O57" s="21">
        <f>IF(Технологии!AV17="ИЗУЧЕНО",$E57,0)</f>
        <v>0</v>
      </c>
      <c r="P57" s="21">
        <f>IF(Технологии!AW17="ИЗУЧЕНО",$E57,0)</f>
        <v>0</v>
      </c>
      <c r="Q57" s="21">
        <f>IF(Технологии!AX17="ИЗУЧЕНО",$E57,0)</f>
        <v>0</v>
      </c>
      <c r="R57" s="21">
        <f>IF(Технологии!AY17="ИЗУЧЕНО",$E57,0)</f>
        <v>0</v>
      </c>
      <c r="S57" s="21">
        <f>IF(Технологии!AZ17="ИЗУЧЕНО",$E57,0)</f>
        <v>0</v>
      </c>
      <c r="T57" s="21">
        <f>IF(Технологии!BA17="ИЗУЧЕНО",$E57,0)</f>
        <v>0</v>
      </c>
      <c r="U57" s="21">
        <f>IF(Технологии!BB17="ИЗУЧЕНО",$E57,0)</f>
        <v>0</v>
      </c>
      <c r="V57" s="21">
        <f>IF(Технологии!BC17="ИЗУЧЕНО",$E57,0)</f>
        <v>0</v>
      </c>
      <c r="W57" s="21">
        <f>IF(Технологии!BD17="ИЗУЧЕНО",$E57,0)</f>
        <v>0</v>
      </c>
      <c r="X57" s="21">
        <f>IF(Технологии!BE17="ИЗУЧЕНО",$E57,0)</f>
        <v>0</v>
      </c>
      <c r="Y57" s="21">
        <f>IF(Технологии!BF17="ИЗУЧЕНО",$E57,0)</f>
        <v>0</v>
      </c>
    </row>
    <row r="58" spans="1:25">
      <c r="A58" s="19" t="s">
        <v>101</v>
      </c>
      <c r="B58" s="18" t="s">
        <v>102</v>
      </c>
      <c r="C58" s="18" t="s">
        <v>291</v>
      </c>
      <c r="D58" s="18" t="s">
        <v>387</v>
      </c>
      <c r="E58" s="20">
        <v>0.3</v>
      </c>
      <c r="F58" s="18" t="str">
        <f>IF(Технологии!BH18="","",Технологии!BH18)</f>
        <v/>
      </c>
      <c r="G58" s="18" t="s">
        <v>422</v>
      </c>
      <c r="J58" s="21">
        <f>0</f>
        <v>0</v>
      </c>
      <c r="K58" s="21">
        <f>IF(Технологии!AR18="ИЗУЧЕНО",$E58,0)</f>
        <v>0</v>
      </c>
      <c r="L58" s="21">
        <f>IF(Технологии!AS18="ИЗУЧЕНО",$E58,0)</f>
        <v>0</v>
      </c>
      <c r="M58" s="21">
        <f>IF(Технологии!AT18="ИЗУЧЕНО",$E58,0)</f>
        <v>0</v>
      </c>
      <c r="N58" s="21">
        <f>IF(Технологии!AU18="ИЗУЧЕНО",$E58,0)</f>
        <v>0</v>
      </c>
      <c r="O58" s="21">
        <f>IF(Технологии!AV18="ИЗУЧЕНО",$E58,0)</f>
        <v>0</v>
      </c>
      <c r="P58" s="21">
        <f>IF(Технологии!AW18="ИЗУЧЕНО",$E58,0)</f>
        <v>0</v>
      </c>
      <c r="Q58" s="21">
        <f>IF(Технологии!AX18="ИЗУЧЕНО",$E58,0)</f>
        <v>0</v>
      </c>
      <c r="R58" s="21">
        <f>IF(Технологии!AY18="ИЗУЧЕНО",$E58,0)</f>
        <v>0</v>
      </c>
      <c r="S58" s="21">
        <f>IF(Технологии!AZ18="ИЗУЧЕНО",$E58,0)</f>
        <v>0</v>
      </c>
      <c r="T58" s="21">
        <f>IF(Технологии!BA18="ИЗУЧЕНО",$E58,0)</f>
        <v>0</v>
      </c>
      <c r="U58" s="21">
        <f>IF(Технологии!BB18="ИЗУЧЕНО",$E58,0)</f>
        <v>0</v>
      </c>
      <c r="V58" s="21">
        <f>IF(Технологии!BC18="ИЗУЧЕНО",$E58,0)</f>
        <v>0</v>
      </c>
      <c r="W58" s="21">
        <f>IF(Технологии!BD18="ИЗУЧЕНО",$E58,0)</f>
        <v>0</v>
      </c>
      <c r="X58" s="21">
        <f>IF(Технологии!BE18="ИЗУЧЕНО",$E58,0)</f>
        <v>0</v>
      </c>
      <c r="Y58" s="21">
        <f>IF(Технологии!BF18="ИЗУЧЕНО",$E58,0)</f>
        <v>0</v>
      </c>
    </row>
    <row r="59" spans="1:25">
      <c r="A59" s="19" t="s">
        <v>101</v>
      </c>
      <c r="B59" s="18" t="s">
        <v>102</v>
      </c>
      <c r="C59" s="18" t="s">
        <v>379</v>
      </c>
      <c r="D59" s="18" t="s">
        <v>405</v>
      </c>
      <c r="E59" s="20">
        <v>0.1</v>
      </c>
      <c r="F59" s="18" t="str">
        <f>IF(Технологии!BH18="","",Технологии!BH18)</f>
        <v/>
      </c>
      <c r="G59" s="18" t="s">
        <v>423</v>
      </c>
      <c r="J59" s="21">
        <f>0</f>
        <v>0</v>
      </c>
      <c r="K59" s="21">
        <f>IF(Технологии!AR18="ИЗУЧЕНО",$E59,0)</f>
        <v>0</v>
      </c>
      <c r="L59" s="21">
        <f>IF(Технологии!AS18="ИЗУЧЕНО",$E59,0)</f>
        <v>0</v>
      </c>
      <c r="M59" s="21">
        <f>IF(Технологии!AT18="ИЗУЧЕНО",$E59,0)</f>
        <v>0</v>
      </c>
      <c r="N59" s="21">
        <f>IF(Технологии!AU18="ИЗУЧЕНО",$E59,0)</f>
        <v>0</v>
      </c>
      <c r="O59" s="21">
        <f>IF(Технологии!AV18="ИЗУЧЕНО",$E59,0)</f>
        <v>0</v>
      </c>
      <c r="P59" s="21">
        <f>IF(Технологии!AW18="ИЗУЧЕНО",$E59,0)</f>
        <v>0</v>
      </c>
      <c r="Q59" s="21">
        <f>IF(Технологии!AX18="ИЗУЧЕНО",$E59,0)</f>
        <v>0</v>
      </c>
      <c r="R59" s="21">
        <f>IF(Технологии!AY18="ИЗУЧЕНО",$E59,0)</f>
        <v>0</v>
      </c>
      <c r="S59" s="21">
        <f>IF(Технологии!AZ18="ИЗУЧЕНО",$E59,0)</f>
        <v>0</v>
      </c>
      <c r="T59" s="21">
        <f>IF(Технологии!BA18="ИЗУЧЕНО",$E59,0)</f>
        <v>0</v>
      </c>
      <c r="U59" s="21">
        <f>IF(Технологии!BB18="ИЗУЧЕНО",$E59,0)</f>
        <v>0</v>
      </c>
      <c r="V59" s="21">
        <f>IF(Технологии!BC18="ИЗУЧЕНО",$E59,0)</f>
        <v>0</v>
      </c>
      <c r="W59" s="21">
        <f>IF(Технологии!BD18="ИЗУЧЕНО",$E59,0)</f>
        <v>0</v>
      </c>
      <c r="X59" s="21">
        <f>IF(Технологии!BE18="ИЗУЧЕНО",$E59,0)</f>
        <v>0</v>
      </c>
      <c r="Y59" s="21">
        <f>IF(Технологии!BF18="ИЗУЧЕНО",$E59,0)</f>
        <v>0</v>
      </c>
    </row>
    <row r="60" spans="1:25">
      <c r="A60" s="19" t="s">
        <v>101</v>
      </c>
      <c r="B60" s="18" t="s">
        <v>102</v>
      </c>
      <c r="C60" s="18" t="s">
        <v>260</v>
      </c>
      <c r="D60" s="18" t="s">
        <v>387</v>
      </c>
      <c r="E60" s="20">
        <v>-0.15</v>
      </c>
      <c r="F60" s="18" t="str">
        <f>IF(Технологии!BH18="","",Технологии!BH18)</f>
        <v/>
      </c>
      <c r="G60" s="18" t="s">
        <v>424</v>
      </c>
      <c r="J60" s="21">
        <f>0</f>
        <v>0</v>
      </c>
      <c r="K60" s="21">
        <f>IF(Технологии!AR18="ИЗУЧЕНО",$E60,0)</f>
        <v>0</v>
      </c>
      <c r="L60" s="21">
        <f>IF(Технологии!AS18="ИЗУЧЕНО",$E60,0)</f>
        <v>0</v>
      </c>
      <c r="M60" s="21">
        <f>IF(Технологии!AT18="ИЗУЧЕНО",$E60,0)</f>
        <v>0</v>
      </c>
      <c r="N60" s="21">
        <f>IF(Технологии!AU18="ИЗУЧЕНО",$E60,0)</f>
        <v>0</v>
      </c>
      <c r="O60" s="21">
        <f>IF(Технологии!AV18="ИЗУЧЕНО",$E60,0)</f>
        <v>0</v>
      </c>
      <c r="P60" s="21">
        <f>IF(Технологии!AW18="ИЗУЧЕНО",$E60,0)</f>
        <v>0</v>
      </c>
      <c r="Q60" s="21">
        <f>IF(Технологии!AX18="ИЗУЧЕНО",$E60,0)</f>
        <v>0</v>
      </c>
      <c r="R60" s="21">
        <f>IF(Технологии!AY18="ИЗУЧЕНО",$E60,0)</f>
        <v>0</v>
      </c>
      <c r="S60" s="21">
        <f>IF(Технологии!AZ18="ИЗУЧЕНО",$E60,0)</f>
        <v>0</v>
      </c>
      <c r="T60" s="21">
        <f>IF(Технологии!BA18="ИЗУЧЕНО",$E60,0)</f>
        <v>0</v>
      </c>
      <c r="U60" s="21">
        <f>IF(Технологии!BB18="ИЗУЧЕНО",$E60,0)</f>
        <v>0</v>
      </c>
      <c r="V60" s="21">
        <f>IF(Технологии!BC18="ИЗУЧЕНО",$E60,0)</f>
        <v>0</v>
      </c>
      <c r="W60" s="21">
        <f>IF(Технологии!BD18="ИЗУЧЕНО",$E60,0)</f>
        <v>0</v>
      </c>
      <c r="X60" s="21">
        <f>IF(Технологии!BE18="ИЗУЧЕНО",$E60,0)</f>
        <v>0</v>
      </c>
      <c r="Y60" s="21">
        <f>IF(Технологии!BF18="ИЗУЧЕНО",$E60,0)</f>
        <v>0</v>
      </c>
    </row>
    <row r="61" spans="1:25">
      <c r="A61" s="19" t="s">
        <v>105</v>
      </c>
      <c r="B61" s="18" t="s">
        <v>106</v>
      </c>
      <c r="C61" s="18" t="s">
        <v>286</v>
      </c>
      <c r="D61" s="18" t="s">
        <v>387</v>
      </c>
      <c r="E61" s="20">
        <v>0.3</v>
      </c>
      <c r="F61" s="18" t="str">
        <f>IF(Технологии!BH19="","",Технологии!BH19)</f>
        <v/>
      </c>
      <c r="G61" s="18" t="s">
        <v>425</v>
      </c>
      <c r="J61" s="21">
        <f>0</f>
        <v>0</v>
      </c>
      <c r="K61" s="21">
        <f>IF(Технологии!AR19="ИЗУЧЕНО",$E61,0)</f>
        <v>0</v>
      </c>
      <c r="L61" s="21">
        <f>IF(Технологии!AS19="ИЗУЧЕНО",$E61,0)</f>
        <v>0</v>
      </c>
      <c r="M61" s="21">
        <f>IF(Технологии!AT19="ИЗУЧЕНО",$E61,0)</f>
        <v>0</v>
      </c>
      <c r="N61" s="21">
        <f>IF(Технологии!AU19="ИЗУЧЕНО",$E61,0)</f>
        <v>0</v>
      </c>
      <c r="O61" s="21">
        <f>IF(Технологии!AV19="ИЗУЧЕНО",$E61,0)</f>
        <v>0</v>
      </c>
      <c r="P61" s="21">
        <f>IF(Технологии!AW19="ИЗУЧЕНО",$E61,0)</f>
        <v>0</v>
      </c>
      <c r="Q61" s="21">
        <f>IF(Технологии!AX19="ИЗУЧЕНО",$E61,0)</f>
        <v>0</v>
      </c>
      <c r="R61" s="21">
        <f>IF(Технологии!AY19="ИЗУЧЕНО",$E61,0)</f>
        <v>0</v>
      </c>
      <c r="S61" s="21">
        <f>IF(Технологии!AZ19="ИЗУЧЕНО",$E61,0)</f>
        <v>0</v>
      </c>
      <c r="T61" s="21">
        <f>IF(Технологии!BA19="ИЗУЧЕНО",$E61,0)</f>
        <v>0</v>
      </c>
      <c r="U61" s="21">
        <f>IF(Технологии!BB19="ИЗУЧЕНО",$E61,0)</f>
        <v>0</v>
      </c>
      <c r="V61" s="21">
        <f>IF(Технологии!BC19="ИЗУЧЕНО",$E61,0)</f>
        <v>0</v>
      </c>
      <c r="W61" s="21">
        <f>IF(Технологии!BD19="ИЗУЧЕНО",$E61,0)</f>
        <v>0</v>
      </c>
      <c r="X61" s="21">
        <f>IF(Технологии!BE19="ИЗУЧЕНО",$E61,0)</f>
        <v>0</v>
      </c>
      <c r="Y61" s="21">
        <f>IF(Технологии!BF19="ИЗУЧЕНО",$E61,0)</f>
        <v>0</v>
      </c>
    </row>
    <row r="62" spans="1:25">
      <c r="A62" s="19" t="s">
        <v>105</v>
      </c>
      <c r="B62" s="18" t="s">
        <v>106</v>
      </c>
      <c r="C62" s="18" t="s">
        <v>271</v>
      </c>
      <c r="D62" s="18" t="s">
        <v>414</v>
      </c>
      <c r="E62" s="20">
        <v>0.08</v>
      </c>
      <c r="F62" s="18" t="str">
        <f>IF(Технологии!BH19="","",Технологии!BH19)</f>
        <v/>
      </c>
      <c r="G62" s="18" t="s">
        <v>426</v>
      </c>
      <c r="J62" s="21">
        <f>0</f>
        <v>0</v>
      </c>
      <c r="K62" s="21">
        <f>IF(Технологии!AR19="ИЗУЧЕНО",$E62,0)</f>
        <v>0</v>
      </c>
      <c r="L62" s="21">
        <f>IF(Технологии!AS19="ИЗУЧЕНО",$E62,0)</f>
        <v>0</v>
      </c>
      <c r="M62" s="21">
        <f>IF(Технологии!AT19="ИЗУЧЕНО",$E62,0)</f>
        <v>0</v>
      </c>
      <c r="N62" s="21">
        <f>IF(Технологии!AU19="ИЗУЧЕНО",$E62,0)</f>
        <v>0</v>
      </c>
      <c r="O62" s="21">
        <f>IF(Технологии!AV19="ИЗУЧЕНО",$E62,0)</f>
        <v>0</v>
      </c>
      <c r="P62" s="21">
        <f>IF(Технологии!AW19="ИЗУЧЕНО",$E62,0)</f>
        <v>0</v>
      </c>
      <c r="Q62" s="21">
        <f>IF(Технологии!AX19="ИЗУЧЕНО",$E62,0)</f>
        <v>0</v>
      </c>
      <c r="R62" s="21">
        <f>IF(Технологии!AY19="ИЗУЧЕНО",$E62,0)</f>
        <v>0</v>
      </c>
      <c r="S62" s="21">
        <f>IF(Технологии!AZ19="ИЗУЧЕНО",$E62,0)</f>
        <v>0</v>
      </c>
      <c r="T62" s="21">
        <f>IF(Технологии!BA19="ИЗУЧЕНО",$E62,0)</f>
        <v>0</v>
      </c>
      <c r="U62" s="21">
        <f>IF(Технологии!BB19="ИЗУЧЕНО",$E62,0)</f>
        <v>0</v>
      </c>
      <c r="V62" s="21">
        <f>IF(Технологии!BC19="ИЗУЧЕНО",$E62,0)</f>
        <v>0</v>
      </c>
      <c r="W62" s="21">
        <f>IF(Технологии!BD19="ИЗУЧЕНО",$E62,0)</f>
        <v>0</v>
      </c>
      <c r="X62" s="21">
        <f>IF(Технологии!BE19="ИЗУЧЕНО",$E62,0)</f>
        <v>0</v>
      </c>
      <c r="Y62" s="21">
        <f>IF(Технологии!BF19="ИЗУЧЕНО",$E62,0)</f>
        <v>0</v>
      </c>
    </row>
    <row r="63" spans="1:25">
      <c r="A63" s="19" t="s">
        <v>105</v>
      </c>
      <c r="B63" s="18" t="s">
        <v>106</v>
      </c>
      <c r="C63" s="18" t="s">
        <v>292</v>
      </c>
      <c r="D63" s="18" t="s">
        <v>387</v>
      </c>
      <c r="E63" s="20">
        <v>0.2</v>
      </c>
      <c r="F63" s="18" t="str">
        <f>IF(Технологии!BH19="","",Технологии!BH19)</f>
        <v/>
      </c>
      <c r="G63" s="18" t="s">
        <v>427</v>
      </c>
      <c r="J63" s="21">
        <f>0</f>
        <v>0</v>
      </c>
      <c r="K63" s="21">
        <f>IF(Технологии!AR19="ИЗУЧЕНО",$E63,0)</f>
        <v>0</v>
      </c>
      <c r="L63" s="21">
        <f>IF(Технологии!AS19="ИЗУЧЕНО",$E63,0)</f>
        <v>0</v>
      </c>
      <c r="M63" s="21">
        <f>IF(Технологии!AT19="ИЗУЧЕНО",$E63,0)</f>
        <v>0</v>
      </c>
      <c r="N63" s="21">
        <f>IF(Технологии!AU19="ИЗУЧЕНО",$E63,0)</f>
        <v>0</v>
      </c>
      <c r="O63" s="21">
        <f>IF(Технологии!AV19="ИЗУЧЕНО",$E63,0)</f>
        <v>0</v>
      </c>
      <c r="P63" s="21">
        <f>IF(Технологии!AW19="ИЗУЧЕНО",$E63,0)</f>
        <v>0</v>
      </c>
      <c r="Q63" s="21">
        <f>IF(Технологии!AX19="ИЗУЧЕНО",$E63,0)</f>
        <v>0</v>
      </c>
      <c r="R63" s="21">
        <f>IF(Технологии!AY19="ИЗУЧЕНО",$E63,0)</f>
        <v>0</v>
      </c>
      <c r="S63" s="21">
        <f>IF(Технологии!AZ19="ИЗУЧЕНО",$E63,0)</f>
        <v>0</v>
      </c>
      <c r="T63" s="21">
        <f>IF(Технологии!BA19="ИЗУЧЕНО",$E63,0)</f>
        <v>0</v>
      </c>
      <c r="U63" s="21">
        <f>IF(Технологии!BB19="ИЗУЧЕНО",$E63,0)</f>
        <v>0</v>
      </c>
      <c r="V63" s="21">
        <f>IF(Технологии!BC19="ИЗУЧЕНО",$E63,0)</f>
        <v>0</v>
      </c>
      <c r="W63" s="21">
        <f>IF(Технологии!BD19="ИЗУЧЕНО",$E63,0)</f>
        <v>0</v>
      </c>
      <c r="X63" s="21">
        <f>IF(Технологии!BE19="ИЗУЧЕНО",$E63,0)</f>
        <v>0</v>
      </c>
      <c r="Y63" s="21">
        <f>IF(Технологии!BF19="ИЗУЧЕНО",$E63,0)</f>
        <v>0</v>
      </c>
    </row>
    <row r="64" spans="1:25">
      <c r="A64" s="19" t="s">
        <v>105</v>
      </c>
      <c r="B64" s="18" t="s">
        <v>106</v>
      </c>
      <c r="C64" s="18" t="s">
        <v>260</v>
      </c>
      <c r="D64" s="18" t="s">
        <v>387</v>
      </c>
      <c r="E64" s="20">
        <v>-0.25</v>
      </c>
      <c r="F64" s="18" t="str">
        <f>IF(Технологии!BH19="","",Технологии!BH19)</f>
        <v/>
      </c>
      <c r="G64" s="18" t="s">
        <v>400</v>
      </c>
      <c r="J64" s="21">
        <f>0</f>
        <v>0</v>
      </c>
      <c r="K64" s="21">
        <f>IF(Технологии!AR19="ИЗУЧЕНО",$E64,0)</f>
        <v>0</v>
      </c>
      <c r="L64" s="21">
        <f>IF(Технологии!AS19="ИЗУЧЕНО",$E64,0)</f>
        <v>0</v>
      </c>
      <c r="M64" s="21">
        <f>IF(Технологии!AT19="ИЗУЧЕНО",$E64,0)</f>
        <v>0</v>
      </c>
      <c r="N64" s="21">
        <f>IF(Технологии!AU19="ИЗУЧЕНО",$E64,0)</f>
        <v>0</v>
      </c>
      <c r="O64" s="21">
        <f>IF(Технологии!AV19="ИЗУЧЕНО",$E64,0)</f>
        <v>0</v>
      </c>
      <c r="P64" s="21">
        <f>IF(Технологии!AW19="ИЗУЧЕНО",$E64,0)</f>
        <v>0</v>
      </c>
      <c r="Q64" s="21">
        <f>IF(Технологии!AX19="ИЗУЧЕНО",$E64,0)</f>
        <v>0</v>
      </c>
      <c r="R64" s="21">
        <f>IF(Технологии!AY19="ИЗУЧЕНО",$E64,0)</f>
        <v>0</v>
      </c>
      <c r="S64" s="21">
        <f>IF(Технологии!AZ19="ИЗУЧЕНО",$E64,0)</f>
        <v>0</v>
      </c>
      <c r="T64" s="21">
        <f>IF(Технологии!BA19="ИЗУЧЕНО",$E64,0)</f>
        <v>0</v>
      </c>
      <c r="U64" s="21">
        <f>IF(Технологии!BB19="ИЗУЧЕНО",$E64,0)</f>
        <v>0</v>
      </c>
      <c r="V64" s="21">
        <f>IF(Технологии!BC19="ИЗУЧЕНО",$E64,0)</f>
        <v>0</v>
      </c>
      <c r="W64" s="21">
        <f>IF(Технологии!BD19="ИЗУЧЕНО",$E64,0)</f>
        <v>0</v>
      </c>
      <c r="X64" s="21">
        <f>IF(Технологии!BE19="ИЗУЧЕНО",$E64,0)</f>
        <v>0</v>
      </c>
      <c r="Y64" s="21">
        <f>IF(Технологии!BF19="ИЗУЧЕНО",$E64,0)</f>
        <v>0</v>
      </c>
    </row>
    <row r="65" spans="1:25">
      <c r="A65" s="19" t="s">
        <v>109</v>
      </c>
      <c r="B65" s="18" t="s">
        <v>110</v>
      </c>
      <c r="C65" s="18" t="s">
        <v>291</v>
      </c>
      <c r="D65" s="18" t="s">
        <v>387</v>
      </c>
      <c r="E65" s="20">
        <v>0.4</v>
      </c>
      <c r="F65" s="18" t="str">
        <f>IF(Технологии!BH20="","",Технологии!BH20)</f>
        <v/>
      </c>
      <c r="G65" s="18" t="s">
        <v>428</v>
      </c>
      <c r="J65" s="21">
        <f>0</f>
        <v>0</v>
      </c>
      <c r="K65" s="21">
        <f>IF(Технологии!AR20="ИЗУЧЕНО",$E65,0)</f>
        <v>0</v>
      </c>
      <c r="L65" s="21">
        <f>IF(Технологии!AS20="ИЗУЧЕНО",$E65,0)</f>
        <v>0</v>
      </c>
      <c r="M65" s="21">
        <f>IF(Технологии!AT20="ИЗУЧЕНО",$E65,0)</f>
        <v>0</v>
      </c>
      <c r="N65" s="21">
        <f>IF(Технологии!AU20="ИЗУЧЕНО",$E65,0)</f>
        <v>0</v>
      </c>
      <c r="O65" s="21">
        <f>IF(Технологии!AV20="ИЗУЧЕНО",$E65,0)</f>
        <v>0</v>
      </c>
      <c r="P65" s="21">
        <f>IF(Технологии!AW20="ИЗУЧЕНО",$E65,0)</f>
        <v>0</v>
      </c>
      <c r="Q65" s="21">
        <f>IF(Технологии!AX20="ИЗУЧЕНО",$E65,0)</f>
        <v>0</v>
      </c>
      <c r="R65" s="21">
        <f>IF(Технологии!AY20="ИЗУЧЕНО",$E65,0)</f>
        <v>0</v>
      </c>
      <c r="S65" s="21">
        <f>IF(Технологии!AZ20="ИЗУЧЕНО",$E65,0)</f>
        <v>0</v>
      </c>
      <c r="T65" s="21">
        <f>IF(Технологии!BA20="ИЗУЧЕНО",$E65,0)</f>
        <v>0</v>
      </c>
      <c r="U65" s="21">
        <f>IF(Технологии!BB20="ИЗУЧЕНО",$E65,0)</f>
        <v>0</v>
      </c>
      <c r="V65" s="21">
        <f>IF(Технологии!BC20="ИЗУЧЕНО",$E65,0)</f>
        <v>0</v>
      </c>
      <c r="W65" s="21">
        <f>IF(Технологии!BD20="ИЗУЧЕНО",$E65,0)</f>
        <v>0</v>
      </c>
      <c r="X65" s="21">
        <f>IF(Технологии!BE20="ИЗУЧЕНО",$E65,0)</f>
        <v>0</v>
      </c>
      <c r="Y65" s="21">
        <f>IF(Технологии!BF20="ИЗУЧЕНО",$E65,0)</f>
        <v>0</v>
      </c>
    </row>
    <row r="66" spans="1:25">
      <c r="A66" s="19" t="s">
        <v>109</v>
      </c>
      <c r="B66" s="18" t="s">
        <v>110</v>
      </c>
      <c r="C66" s="18" t="s">
        <v>291</v>
      </c>
      <c r="D66" s="18" t="s">
        <v>414</v>
      </c>
      <c r="E66" s="20">
        <v>0.08</v>
      </c>
      <c r="F66" s="18" t="str">
        <f>IF(Технологии!BH20="","",Технологии!BH20)</f>
        <v/>
      </c>
      <c r="G66" s="18" t="s">
        <v>428</v>
      </c>
      <c r="J66" s="21">
        <f>0</f>
        <v>0</v>
      </c>
      <c r="K66" s="21">
        <f>IF(Технологии!AR20="ИЗУЧЕНО",$E66,0)</f>
        <v>0</v>
      </c>
      <c r="L66" s="21">
        <f>IF(Технологии!AS20="ИЗУЧЕНО",$E66,0)</f>
        <v>0</v>
      </c>
      <c r="M66" s="21">
        <f>IF(Технологии!AT20="ИЗУЧЕНО",$E66,0)</f>
        <v>0</v>
      </c>
      <c r="N66" s="21">
        <f>IF(Технологии!AU20="ИЗУЧЕНО",$E66,0)</f>
        <v>0</v>
      </c>
      <c r="O66" s="21">
        <f>IF(Технологии!AV20="ИЗУЧЕНО",$E66,0)</f>
        <v>0</v>
      </c>
      <c r="P66" s="21">
        <f>IF(Технологии!AW20="ИЗУЧЕНО",$E66,0)</f>
        <v>0</v>
      </c>
      <c r="Q66" s="21">
        <f>IF(Технологии!AX20="ИЗУЧЕНО",$E66,0)</f>
        <v>0</v>
      </c>
      <c r="R66" s="21">
        <f>IF(Технологии!AY20="ИЗУЧЕНО",$E66,0)</f>
        <v>0</v>
      </c>
      <c r="S66" s="21">
        <f>IF(Технологии!AZ20="ИЗУЧЕНО",$E66,0)</f>
        <v>0</v>
      </c>
      <c r="T66" s="21">
        <f>IF(Технологии!BA20="ИЗУЧЕНО",$E66,0)</f>
        <v>0</v>
      </c>
      <c r="U66" s="21">
        <f>IF(Технологии!BB20="ИЗУЧЕНО",$E66,0)</f>
        <v>0</v>
      </c>
      <c r="V66" s="21">
        <f>IF(Технологии!BC20="ИЗУЧЕНО",$E66,0)</f>
        <v>0</v>
      </c>
      <c r="W66" s="21">
        <f>IF(Технологии!BD20="ИЗУЧЕНО",$E66,0)</f>
        <v>0</v>
      </c>
      <c r="X66" s="21">
        <f>IF(Технологии!BE20="ИЗУЧЕНО",$E66,0)</f>
        <v>0</v>
      </c>
      <c r="Y66" s="21">
        <f>IF(Технологии!BF20="ИЗУЧЕНО",$E66,0)</f>
        <v>0</v>
      </c>
    </row>
    <row r="67" spans="1:25">
      <c r="A67" s="19" t="s">
        <v>109</v>
      </c>
      <c r="B67" s="18" t="s">
        <v>110</v>
      </c>
      <c r="C67" s="18" t="s">
        <v>286</v>
      </c>
      <c r="D67" s="18" t="s">
        <v>387</v>
      </c>
      <c r="E67" s="20">
        <v>0.2</v>
      </c>
      <c r="F67" s="18" t="str">
        <f>IF(Технологии!BH20="","",Технологии!BH20)</f>
        <v/>
      </c>
      <c r="G67" s="18" t="s">
        <v>421</v>
      </c>
      <c r="J67" s="21">
        <f>0</f>
        <v>0</v>
      </c>
      <c r="K67" s="21">
        <f>IF(Технологии!AR20="ИЗУЧЕНО",$E67,0)</f>
        <v>0</v>
      </c>
      <c r="L67" s="21">
        <f>IF(Технологии!AS20="ИЗУЧЕНО",$E67,0)</f>
        <v>0</v>
      </c>
      <c r="M67" s="21">
        <f>IF(Технологии!AT20="ИЗУЧЕНО",$E67,0)</f>
        <v>0</v>
      </c>
      <c r="N67" s="21">
        <f>IF(Технологии!AU20="ИЗУЧЕНО",$E67,0)</f>
        <v>0</v>
      </c>
      <c r="O67" s="21">
        <f>IF(Технологии!AV20="ИЗУЧЕНО",$E67,0)</f>
        <v>0</v>
      </c>
      <c r="P67" s="21">
        <f>IF(Технологии!AW20="ИЗУЧЕНО",$E67,0)</f>
        <v>0</v>
      </c>
      <c r="Q67" s="21">
        <f>IF(Технологии!AX20="ИЗУЧЕНО",$E67,0)</f>
        <v>0</v>
      </c>
      <c r="R67" s="21">
        <f>IF(Технологии!AY20="ИЗУЧЕНО",$E67,0)</f>
        <v>0</v>
      </c>
      <c r="S67" s="21">
        <f>IF(Технологии!AZ20="ИЗУЧЕНО",$E67,0)</f>
        <v>0</v>
      </c>
      <c r="T67" s="21">
        <f>IF(Технологии!BA20="ИЗУЧЕНО",$E67,0)</f>
        <v>0</v>
      </c>
      <c r="U67" s="21">
        <f>IF(Технологии!BB20="ИЗУЧЕНО",$E67,0)</f>
        <v>0</v>
      </c>
      <c r="V67" s="21">
        <f>IF(Технологии!BC20="ИЗУЧЕНО",$E67,0)</f>
        <v>0</v>
      </c>
      <c r="W67" s="21">
        <f>IF(Технологии!BD20="ИЗУЧЕНО",$E67,0)</f>
        <v>0</v>
      </c>
      <c r="X67" s="21">
        <f>IF(Технологии!BE20="ИЗУЧЕНО",$E67,0)</f>
        <v>0</v>
      </c>
      <c r="Y67" s="21">
        <f>IF(Технологии!BF20="ИЗУЧЕНО",$E67,0)</f>
        <v>0</v>
      </c>
    </row>
    <row r="68" spans="1:25">
      <c r="A68" s="19" t="s">
        <v>109</v>
      </c>
      <c r="B68" s="18" t="s">
        <v>110</v>
      </c>
      <c r="C68" s="18" t="s">
        <v>269</v>
      </c>
      <c r="D68" s="18" t="s">
        <v>414</v>
      </c>
      <c r="E68" s="20">
        <v>0.05</v>
      </c>
      <c r="F68" s="18" t="str">
        <f>IF(Технологии!BH20="","",Технологии!BH20)</f>
        <v/>
      </c>
      <c r="G68" s="18" t="s">
        <v>429</v>
      </c>
      <c r="J68" s="21">
        <f>0</f>
        <v>0</v>
      </c>
      <c r="K68" s="21">
        <f>IF(Технологии!AR20="ИЗУЧЕНО",$E68,0)</f>
        <v>0</v>
      </c>
      <c r="L68" s="21">
        <f>IF(Технологии!AS20="ИЗУЧЕНО",$E68,0)</f>
        <v>0</v>
      </c>
      <c r="M68" s="21">
        <f>IF(Технологии!AT20="ИЗУЧЕНО",$E68,0)</f>
        <v>0</v>
      </c>
      <c r="N68" s="21">
        <f>IF(Технологии!AU20="ИЗУЧЕНО",$E68,0)</f>
        <v>0</v>
      </c>
      <c r="O68" s="21">
        <f>IF(Технологии!AV20="ИЗУЧЕНО",$E68,0)</f>
        <v>0</v>
      </c>
      <c r="P68" s="21">
        <f>IF(Технологии!AW20="ИЗУЧЕНО",$E68,0)</f>
        <v>0</v>
      </c>
      <c r="Q68" s="21">
        <f>IF(Технологии!AX20="ИЗУЧЕНО",$E68,0)</f>
        <v>0</v>
      </c>
      <c r="R68" s="21">
        <f>IF(Технологии!AY20="ИЗУЧЕНО",$E68,0)</f>
        <v>0</v>
      </c>
      <c r="S68" s="21">
        <f>IF(Технологии!AZ20="ИЗУЧЕНО",$E68,0)</f>
        <v>0</v>
      </c>
      <c r="T68" s="21">
        <f>IF(Технологии!BA20="ИЗУЧЕНО",$E68,0)</f>
        <v>0</v>
      </c>
      <c r="U68" s="21">
        <f>IF(Технологии!BB20="ИЗУЧЕНО",$E68,0)</f>
        <v>0</v>
      </c>
      <c r="V68" s="21">
        <f>IF(Технологии!BC20="ИЗУЧЕНО",$E68,0)</f>
        <v>0</v>
      </c>
      <c r="W68" s="21">
        <f>IF(Технологии!BD20="ИЗУЧЕНО",$E68,0)</f>
        <v>0</v>
      </c>
      <c r="X68" s="21">
        <f>IF(Технологии!BE20="ИЗУЧЕНО",$E68,0)</f>
        <v>0</v>
      </c>
      <c r="Y68" s="21">
        <f>IF(Технологии!BF20="ИЗУЧЕНО",$E68,0)</f>
        <v>0</v>
      </c>
    </row>
    <row r="69" spans="1:25">
      <c r="A69" s="19" t="s">
        <v>109</v>
      </c>
      <c r="B69" s="18" t="s">
        <v>110</v>
      </c>
      <c r="C69" s="18" t="s">
        <v>292</v>
      </c>
      <c r="D69" s="18" t="s">
        <v>387</v>
      </c>
      <c r="E69" s="20">
        <v>0.2</v>
      </c>
      <c r="F69" s="18" t="str">
        <f>IF(Технологии!BH20="","",Технологии!BH20)</f>
        <v/>
      </c>
      <c r="G69" s="18" t="s">
        <v>427</v>
      </c>
      <c r="J69" s="21">
        <f>0</f>
        <v>0</v>
      </c>
      <c r="K69" s="21">
        <f>IF(Технологии!AR20="ИЗУЧЕНО",$E69,0)</f>
        <v>0</v>
      </c>
      <c r="L69" s="21">
        <f>IF(Технологии!AS20="ИЗУЧЕНО",$E69,0)</f>
        <v>0</v>
      </c>
      <c r="M69" s="21">
        <f>IF(Технологии!AT20="ИЗУЧЕНО",$E69,0)</f>
        <v>0</v>
      </c>
      <c r="N69" s="21">
        <f>IF(Технологии!AU20="ИЗУЧЕНО",$E69,0)</f>
        <v>0</v>
      </c>
      <c r="O69" s="21">
        <f>IF(Технологии!AV20="ИЗУЧЕНО",$E69,0)</f>
        <v>0</v>
      </c>
      <c r="P69" s="21">
        <f>IF(Технологии!AW20="ИЗУЧЕНО",$E69,0)</f>
        <v>0</v>
      </c>
      <c r="Q69" s="21">
        <f>IF(Технологии!AX20="ИЗУЧЕНО",$E69,0)</f>
        <v>0</v>
      </c>
      <c r="R69" s="21">
        <f>IF(Технологии!AY20="ИЗУЧЕНО",$E69,0)</f>
        <v>0</v>
      </c>
      <c r="S69" s="21">
        <f>IF(Технологии!AZ20="ИЗУЧЕНО",$E69,0)</f>
        <v>0</v>
      </c>
      <c r="T69" s="21">
        <f>IF(Технологии!BA20="ИЗУЧЕНО",$E69,0)</f>
        <v>0</v>
      </c>
      <c r="U69" s="21">
        <f>IF(Технологии!BB20="ИЗУЧЕНО",$E69,0)</f>
        <v>0</v>
      </c>
      <c r="V69" s="21">
        <f>IF(Технологии!BC20="ИЗУЧЕНО",$E69,0)</f>
        <v>0</v>
      </c>
      <c r="W69" s="21">
        <f>IF(Технологии!BD20="ИЗУЧЕНО",$E69,0)</f>
        <v>0</v>
      </c>
      <c r="X69" s="21">
        <f>IF(Технологии!BE20="ИЗУЧЕНО",$E69,0)</f>
        <v>0</v>
      </c>
      <c r="Y69" s="21">
        <f>IF(Технологии!BF20="ИЗУЧЕНО",$E69,0)</f>
        <v>0</v>
      </c>
    </row>
    <row r="70" spans="1:25">
      <c r="A70" s="19" t="s">
        <v>109</v>
      </c>
      <c r="B70" s="18" t="s">
        <v>110</v>
      </c>
      <c r="C70" s="18" t="s">
        <v>260</v>
      </c>
      <c r="D70" s="18" t="s">
        <v>387</v>
      </c>
      <c r="E70" s="20">
        <v>-0.25</v>
      </c>
      <c r="F70" s="18" t="str">
        <f>IF(Технологии!BH20="","",Технологии!BH20)</f>
        <v/>
      </c>
      <c r="G70" s="18" t="s">
        <v>400</v>
      </c>
      <c r="J70" s="21">
        <f>0</f>
        <v>0</v>
      </c>
      <c r="K70" s="21">
        <f>IF(Технологии!AR20="ИЗУЧЕНО",$E70,0)</f>
        <v>0</v>
      </c>
      <c r="L70" s="21">
        <f>IF(Технологии!AS20="ИЗУЧЕНО",$E70,0)</f>
        <v>0</v>
      </c>
      <c r="M70" s="21">
        <f>IF(Технологии!AT20="ИЗУЧЕНО",$E70,0)</f>
        <v>0</v>
      </c>
      <c r="N70" s="21">
        <f>IF(Технологии!AU20="ИЗУЧЕНО",$E70,0)</f>
        <v>0</v>
      </c>
      <c r="O70" s="21">
        <f>IF(Технологии!AV20="ИЗУЧЕНО",$E70,0)</f>
        <v>0</v>
      </c>
      <c r="P70" s="21">
        <f>IF(Технологии!AW20="ИЗУЧЕНО",$E70,0)</f>
        <v>0</v>
      </c>
      <c r="Q70" s="21">
        <f>IF(Технологии!AX20="ИЗУЧЕНО",$E70,0)</f>
        <v>0</v>
      </c>
      <c r="R70" s="21">
        <f>IF(Технологии!AY20="ИЗУЧЕНО",$E70,0)</f>
        <v>0</v>
      </c>
      <c r="S70" s="21">
        <f>IF(Технологии!AZ20="ИЗУЧЕНО",$E70,0)</f>
        <v>0</v>
      </c>
      <c r="T70" s="21">
        <f>IF(Технологии!BA20="ИЗУЧЕНО",$E70,0)</f>
        <v>0</v>
      </c>
      <c r="U70" s="21">
        <f>IF(Технологии!BB20="ИЗУЧЕНО",$E70,0)</f>
        <v>0</v>
      </c>
      <c r="V70" s="21">
        <f>IF(Технологии!BC20="ИЗУЧЕНО",$E70,0)</f>
        <v>0</v>
      </c>
      <c r="W70" s="21">
        <f>IF(Технологии!BD20="ИЗУЧЕНО",$E70,0)</f>
        <v>0</v>
      </c>
      <c r="X70" s="21">
        <f>IF(Технологии!BE20="ИЗУЧЕНО",$E70,0)</f>
        <v>0</v>
      </c>
      <c r="Y70" s="21">
        <f>IF(Технологии!BF20="ИЗУЧЕНО",$E70,0)</f>
        <v>0</v>
      </c>
    </row>
    <row r="71" spans="1:25">
      <c r="A71" s="19" t="s">
        <v>109</v>
      </c>
      <c r="B71" s="18" t="s">
        <v>110</v>
      </c>
      <c r="C71" s="18" t="s">
        <v>295</v>
      </c>
      <c r="D71" s="18" t="s">
        <v>387</v>
      </c>
      <c r="E71" s="20">
        <v>-0.15</v>
      </c>
      <c r="F71" s="18" t="str">
        <f>IF(Технологии!BH20="","",Технологии!BH20)</f>
        <v/>
      </c>
      <c r="G71" s="18" t="s">
        <v>430</v>
      </c>
      <c r="J71" s="21">
        <f>0</f>
        <v>0</v>
      </c>
      <c r="K71" s="21">
        <f>IF(Технологии!AR20="ИЗУЧЕНО",$E71,0)</f>
        <v>0</v>
      </c>
      <c r="L71" s="21">
        <f>IF(Технологии!AS20="ИЗУЧЕНО",$E71,0)</f>
        <v>0</v>
      </c>
      <c r="M71" s="21">
        <f>IF(Технологии!AT20="ИЗУЧЕНО",$E71,0)</f>
        <v>0</v>
      </c>
      <c r="N71" s="21">
        <f>IF(Технологии!AU20="ИЗУЧЕНО",$E71,0)</f>
        <v>0</v>
      </c>
      <c r="O71" s="21">
        <f>IF(Технологии!AV20="ИЗУЧЕНО",$E71,0)</f>
        <v>0</v>
      </c>
      <c r="P71" s="21">
        <f>IF(Технологии!AW20="ИЗУЧЕНО",$E71,0)</f>
        <v>0</v>
      </c>
      <c r="Q71" s="21">
        <f>IF(Технологии!AX20="ИЗУЧЕНО",$E71,0)</f>
        <v>0</v>
      </c>
      <c r="R71" s="21">
        <f>IF(Технологии!AY20="ИЗУЧЕНО",$E71,0)</f>
        <v>0</v>
      </c>
      <c r="S71" s="21">
        <f>IF(Технологии!AZ20="ИЗУЧЕНО",$E71,0)</f>
        <v>0</v>
      </c>
      <c r="T71" s="21">
        <f>IF(Технологии!BA20="ИЗУЧЕНО",$E71,0)</f>
        <v>0</v>
      </c>
      <c r="U71" s="21">
        <f>IF(Технологии!BB20="ИЗУЧЕНО",$E71,0)</f>
        <v>0</v>
      </c>
      <c r="V71" s="21">
        <f>IF(Технологии!BC20="ИЗУЧЕНО",$E71,0)</f>
        <v>0</v>
      </c>
      <c r="W71" s="21">
        <f>IF(Технологии!BD20="ИЗУЧЕНО",$E71,0)</f>
        <v>0</v>
      </c>
      <c r="X71" s="21">
        <f>IF(Технологии!BE20="ИЗУЧЕНО",$E71,0)</f>
        <v>0</v>
      </c>
      <c r="Y71" s="21">
        <f>IF(Технологии!BF20="ИЗУЧЕНО",$E71,0)</f>
        <v>0</v>
      </c>
    </row>
    <row r="72" spans="1:25">
      <c r="A72" s="19" t="s">
        <v>113</v>
      </c>
      <c r="B72" s="18" t="s">
        <v>114</v>
      </c>
      <c r="C72" s="18" t="s">
        <v>271</v>
      </c>
      <c r="D72" s="18" t="s">
        <v>387</v>
      </c>
      <c r="E72" s="20">
        <v>0.3</v>
      </c>
      <c r="F72" s="18" t="str">
        <f>IF(Технологии!BH21="","",Технологии!BH21)</f>
        <v/>
      </c>
      <c r="G72" s="18" t="s">
        <v>431</v>
      </c>
      <c r="J72" s="21">
        <f>0</f>
        <v>0</v>
      </c>
      <c r="K72" s="21">
        <f>IF(Технологии!AR21="ИЗУЧЕНО",$E72,0)</f>
        <v>0</v>
      </c>
      <c r="L72" s="21">
        <f>IF(Технологии!AS21="ИЗУЧЕНО",$E72,0)</f>
        <v>0</v>
      </c>
      <c r="M72" s="21">
        <f>IF(Технологии!AT21="ИЗУЧЕНО",$E72,0)</f>
        <v>0</v>
      </c>
      <c r="N72" s="21">
        <f>IF(Технологии!AU21="ИЗУЧЕНО",$E72,0)</f>
        <v>0</v>
      </c>
      <c r="O72" s="21">
        <f>IF(Технологии!AV21="ИЗУЧЕНО",$E72,0)</f>
        <v>0</v>
      </c>
      <c r="P72" s="21">
        <f>IF(Технологии!AW21="ИЗУЧЕНО",$E72,0)</f>
        <v>0</v>
      </c>
      <c r="Q72" s="21">
        <f>IF(Технологии!AX21="ИЗУЧЕНО",$E72,0)</f>
        <v>0</v>
      </c>
      <c r="R72" s="21">
        <f>IF(Технологии!AY21="ИЗУЧЕНО",$E72,0)</f>
        <v>0</v>
      </c>
      <c r="S72" s="21">
        <f>IF(Технологии!AZ21="ИЗУЧЕНО",$E72,0)</f>
        <v>0</v>
      </c>
      <c r="T72" s="21">
        <f>IF(Технологии!BA21="ИЗУЧЕНО",$E72,0)</f>
        <v>0</v>
      </c>
      <c r="U72" s="21">
        <f>IF(Технологии!BB21="ИЗУЧЕНО",$E72,0)</f>
        <v>0</v>
      </c>
      <c r="V72" s="21">
        <f>IF(Технологии!BC21="ИЗУЧЕНО",$E72,0)</f>
        <v>0</v>
      </c>
      <c r="W72" s="21">
        <f>IF(Технологии!BD21="ИЗУЧЕНО",$E72,0)</f>
        <v>0</v>
      </c>
      <c r="X72" s="21">
        <f>IF(Технологии!BE21="ИЗУЧЕНО",$E72,0)</f>
        <v>0</v>
      </c>
      <c r="Y72" s="21">
        <f>IF(Технологии!BF21="ИЗУЧЕНО",$E72,0)</f>
        <v>0</v>
      </c>
    </row>
    <row r="73" spans="1:25">
      <c r="A73" s="19" t="s">
        <v>113</v>
      </c>
      <c r="B73" s="18" t="s">
        <v>114</v>
      </c>
      <c r="C73" s="18" t="s">
        <v>271</v>
      </c>
      <c r="D73" s="18" t="s">
        <v>414</v>
      </c>
      <c r="E73" s="20">
        <v>0.1</v>
      </c>
      <c r="F73" s="18" t="str">
        <f>IF(Технологии!BH21="","",Технологии!BH21)</f>
        <v/>
      </c>
      <c r="G73" s="18" t="s">
        <v>431</v>
      </c>
      <c r="J73" s="21">
        <f>0</f>
        <v>0</v>
      </c>
      <c r="K73" s="21">
        <f>IF(Технологии!AR21="ИЗУЧЕНО",$E73,0)</f>
        <v>0</v>
      </c>
      <c r="L73" s="21">
        <f>IF(Технологии!AS21="ИЗУЧЕНО",$E73,0)</f>
        <v>0</v>
      </c>
      <c r="M73" s="21">
        <f>IF(Технологии!AT21="ИЗУЧЕНО",$E73,0)</f>
        <v>0</v>
      </c>
      <c r="N73" s="21">
        <f>IF(Технологии!AU21="ИЗУЧЕНО",$E73,0)</f>
        <v>0</v>
      </c>
      <c r="O73" s="21">
        <f>IF(Технологии!AV21="ИЗУЧЕНО",$E73,0)</f>
        <v>0</v>
      </c>
      <c r="P73" s="21">
        <f>IF(Технологии!AW21="ИЗУЧЕНО",$E73,0)</f>
        <v>0</v>
      </c>
      <c r="Q73" s="21">
        <f>IF(Технологии!AX21="ИЗУЧЕНО",$E73,0)</f>
        <v>0</v>
      </c>
      <c r="R73" s="21">
        <f>IF(Технологии!AY21="ИЗУЧЕНО",$E73,0)</f>
        <v>0</v>
      </c>
      <c r="S73" s="21">
        <f>IF(Технологии!AZ21="ИЗУЧЕНО",$E73,0)</f>
        <v>0</v>
      </c>
      <c r="T73" s="21">
        <f>IF(Технологии!BA21="ИЗУЧЕНО",$E73,0)</f>
        <v>0</v>
      </c>
      <c r="U73" s="21">
        <f>IF(Технологии!BB21="ИЗУЧЕНО",$E73,0)</f>
        <v>0</v>
      </c>
      <c r="V73" s="21">
        <f>IF(Технологии!BC21="ИЗУЧЕНО",$E73,0)</f>
        <v>0</v>
      </c>
      <c r="W73" s="21">
        <f>IF(Технологии!BD21="ИЗУЧЕНО",$E73,0)</f>
        <v>0</v>
      </c>
      <c r="X73" s="21">
        <f>IF(Технологии!BE21="ИЗУЧЕНО",$E73,0)</f>
        <v>0</v>
      </c>
      <c r="Y73" s="21">
        <f>IF(Технологии!BF21="ИЗУЧЕНО",$E73,0)</f>
        <v>0</v>
      </c>
    </row>
    <row r="74" spans="1:25">
      <c r="A74" s="19" t="s">
        <v>113</v>
      </c>
      <c r="B74" s="18" t="s">
        <v>114</v>
      </c>
      <c r="C74" s="18" t="s">
        <v>291</v>
      </c>
      <c r="D74" s="18" t="s">
        <v>387</v>
      </c>
      <c r="E74" s="20">
        <v>0.25</v>
      </c>
      <c r="F74" s="18" t="str">
        <f>IF(Технологии!BH21="","",Технологии!BH21)</f>
        <v/>
      </c>
      <c r="G74" s="18" t="s">
        <v>413</v>
      </c>
      <c r="J74" s="21">
        <f>0</f>
        <v>0</v>
      </c>
      <c r="K74" s="21">
        <f>IF(Технологии!AR21="ИЗУЧЕНО",$E74,0)</f>
        <v>0</v>
      </c>
      <c r="L74" s="21">
        <f>IF(Технологии!AS21="ИЗУЧЕНО",$E74,0)</f>
        <v>0</v>
      </c>
      <c r="M74" s="21">
        <f>IF(Технологии!AT21="ИЗУЧЕНО",$E74,0)</f>
        <v>0</v>
      </c>
      <c r="N74" s="21">
        <f>IF(Технологии!AU21="ИЗУЧЕНО",$E74,0)</f>
        <v>0</v>
      </c>
      <c r="O74" s="21">
        <f>IF(Технологии!AV21="ИЗУЧЕНО",$E74,0)</f>
        <v>0</v>
      </c>
      <c r="P74" s="21">
        <f>IF(Технологии!AW21="ИЗУЧЕНО",$E74,0)</f>
        <v>0</v>
      </c>
      <c r="Q74" s="21">
        <f>IF(Технологии!AX21="ИЗУЧЕНО",$E74,0)</f>
        <v>0</v>
      </c>
      <c r="R74" s="21">
        <f>IF(Технологии!AY21="ИЗУЧЕНО",$E74,0)</f>
        <v>0</v>
      </c>
      <c r="S74" s="21">
        <f>IF(Технологии!AZ21="ИЗУЧЕНО",$E74,0)</f>
        <v>0</v>
      </c>
      <c r="T74" s="21">
        <f>IF(Технологии!BA21="ИЗУЧЕНО",$E74,0)</f>
        <v>0</v>
      </c>
      <c r="U74" s="21">
        <f>IF(Технологии!BB21="ИЗУЧЕНО",$E74,0)</f>
        <v>0</v>
      </c>
      <c r="V74" s="21">
        <f>IF(Технологии!BC21="ИЗУЧЕНО",$E74,0)</f>
        <v>0</v>
      </c>
      <c r="W74" s="21">
        <f>IF(Технологии!BD21="ИЗУЧЕНО",$E74,0)</f>
        <v>0</v>
      </c>
      <c r="X74" s="21">
        <f>IF(Технологии!BE21="ИЗУЧЕНО",$E74,0)</f>
        <v>0</v>
      </c>
      <c r="Y74" s="21">
        <f>IF(Технологии!BF21="ИЗУЧЕНО",$E74,0)</f>
        <v>0</v>
      </c>
    </row>
    <row r="75" spans="1:25">
      <c r="A75" s="19" t="s">
        <v>113</v>
      </c>
      <c r="B75" s="18" t="s">
        <v>114</v>
      </c>
      <c r="C75" s="18" t="s">
        <v>279</v>
      </c>
      <c r="D75" s="18" t="s">
        <v>414</v>
      </c>
      <c r="E75" s="20">
        <v>0.08</v>
      </c>
      <c r="F75" s="18" t="str">
        <f>IF(Технологии!BH21="","",Технологии!BH21)</f>
        <v/>
      </c>
      <c r="G75" s="18" t="s">
        <v>432</v>
      </c>
      <c r="J75" s="21">
        <f>0</f>
        <v>0</v>
      </c>
      <c r="K75" s="21">
        <f>IF(Технологии!AR21="ИЗУЧЕНО",$E75,0)</f>
        <v>0</v>
      </c>
      <c r="L75" s="21">
        <f>IF(Технологии!AS21="ИЗУЧЕНО",$E75,0)</f>
        <v>0</v>
      </c>
      <c r="M75" s="21">
        <f>IF(Технологии!AT21="ИЗУЧЕНО",$E75,0)</f>
        <v>0</v>
      </c>
      <c r="N75" s="21">
        <f>IF(Технологии!AU21="ИЗУЧЕНО",$E75,0)</f>
        <v>0</v>
      </c>
      <c r="O75" s="21">
        <f>IF(Технологии!AV21="ИЗУЧЕНО",$E75,0)</f>
        <v>0</v>
      </c>
      <c r="P75" s="21">
        <f>IF(Технологии!AW21="ИЗУЧЕНО",$E75,0)</f>
        <v>0</v>
      </c>
      <c r="Q75" s="21">
        <f>IF(Технологии!AX21="ИЗУЧЕНО",$E75,0)</f>
        <v>0</v>
      </c>
      <c r="R75" s="21">
        <f>IF(Технологии!AY21="ИЗУЧЕНО",$E75,0)</f>
        <v>0</v>
      </c>
      <c r="S75" s="21">
        <f>IF(Технологии!AZ21="ИЗУЧЕНО",$E75,0)</f>
        <v>0</v>
      </c>
      <c r="T75" s="21">
        <f>IF(Технологии!BA21="ИЗУЧЕНО",$E75,0)</f>
        <v>0</v>
      </c>
      <c r="U75" s="21">
        <f>IF(Технологии!BB21="ИЗУЧЕНО",$E75,0)</f>
        <v>0</v>
      </c>
      <c r="V75" s="21">
        <f>IF(Технологии!BC21="ИЗУЧЕНО",$E75,0)</f>
        <v>0</v>
      </c>
      <c r="W75" s="21">
        <f>IF(Технологии!BD21="ИЗУЧЕНО",$E75,0)</f>
        <v>0</v>
      </c>
      <c r="X75" s="21">
        <f>IF(Технологии!BE21="ИЗУЧЕНО",$E75,0)</f>
        <v>0</v>
      </c>
      <c r="Y75" s="21">
        <f>IF(Технологии!BF21="ИЗУЧЕНО",$E75,0)</f>
        <v>0</v>
      </c>
    </row>
    <row r="76" spans="1:25">
      <c r="A76" s="19" t="s">
        <v>113</v>
      </c>
      <c r="B76" s="18" t="s">
        <v>114</v>
      </c>
      <c r="C76" s="18" t="s">
        <v>285</v>
      </c>
      <c r="D76" s="18" t="s">
        <v>387</v>
      </c>
      <c r="E76" s="20">
        <v>0.2</v>
      </c>
      <c r="F76" s="18" t="str">
        <f>IF(Технологии!BH21="","",Технологии!BH21)</f>
        <v/>
      </c>
      <c r="G76" s="18" t="s">
        <v>433</v>
      </c>
      <c r="J76" s="21">
        <f>0</f>
        <v>0</v>
      </c>
      <c r="K76" s="21">
        <f>IF(Технологии!AR21="ИЗУЧЕНО",$E76,0)</f>
        <v>0</v>
      </c>
      <c r="L76" s="21">
        <f>IF(Технологии!AS21="ИЗУЧЕНО",$E76,0)</f>
        <v>0</v>
      </c>
      <c r="M76" s="21">
        <f>IF(Технологии!AT21="ИЗУЧЕНО",$E76,0)</f>
        <v>0</v>
      </c>
      <c r="N76" s="21">
        <f>IF(Технологии!AU21="ИЗУЧЕНО",$E76,0)</f>
        <v>0</v>
      </c>
      <c r="O76" s="21">
        <f>IF(Технологии!AV21="ИЗУЧЕНО",$E76,0)</f>
        <v>0</v>
      </c>
      <c r="P76" s="21">
        <f>IF(Технологии!AW21="ИЗУЧЕНО",$E76,0)</f>
        <v>0</v>
      </c>
      <c r="Q76" s="21">
        <f>IF(Технологии!AX21="ИЗУЧЕНО",$E76,0)</f>
        <v>0</v>
      </c>
      <c r="R76" s="21">
        <f>IF(Технологии!AY21="ИЗУЧЕНО",$E76,0)</f>
        <v>0</v>
      </c>
      <c r="S76" s="21">
        <f>IF(Технологии!AZ21="ИЗУЧЕНО",$E76,0)</f>
        <v>0</v>
      </c>
      <c r="T76" s="21">
        <f>IF(Технологии!BA21="ИЗУЧЕНО",$E76,0)</f>
        <v>0</v>
      </c>
      <c r="U76" s="21">
        <f>IF(Технологии!BB21="ИЗУЧЕНО",$E76,0)</f>
        <v>0</v>
      </c>
      <c r="V76" s="21">
        <f>IF(Технологии!BC21="ИЗУЧЕНО",$E76,0)</f>
        <v>0</v>
      </c>
      <c r="W76" s="21">
        <f>IF(Технологии!BD21="ИЗУЧЕНО",$E76,0)</f>
        <v>0</v>
      </c>
      <c r="X76" s="21">
        <f>IF(Технологии!BE21="ИЗУЧЕНО",$E76,0)</f>
        <v>0</v>
      </c>
      <c r="Y76" s="21">
        <f>IF(Технологии!BF21="ИЗУЧЕНО",$E76,0)</f>
        <v>0</v>
      </c>
    </row>
    <row r="77" spans="1:25">
      <c r="A77" s="19" t="s">
        <v>113</v>
      </c>
      <c r="B77" s="18" t="s">
        <v>114</v>
      </c>
      <c r="C77" s="18" t="s">
        <v>378</v>
      </c>
      <c r="D77" s="18" t="s">
        <v>405</v>
      </c>
      <c r="E77" s="20">
        <v>0.1</v>
      </c>
      <c r="F77" s="18" t="str">
        <f>IF(Технологии!BH21="","",Технологии!BH21)</f>
        <v/>
      </c>
      <c r="G77" s="18" t="s">
        <v>434</v>
      </c>
      <c r="J77" s="21">
        <f>0</f>
        <v>0</v>
      </c>
      <c r="K77" s="21">
        <f>IF(Технологии!AR21="ИЗУЧЕНО",$E77,0)</f>
        <v>0</v>
      </c>
      <c r="L77" s="21">
        <f>IF(Технологии!AS21="ИЗУЧЕНО",$E77,0)</f>
        <v>0</v>
      </c>
      <c r="M77" s="21">
        <f>IF(Технологии!AT21="ИЗУЧЕНО",$E77,0)</f>
        <v>0</v>
      </c>
      <c r="N77" s="21">
        <f>IF(Технологии!AU21="ИЗУЧЕНО",$E77,0)</f>
        <v>0</v>
      </c>
      <c r="O77" s="21">
        <f>IF(Технологии!AV21="ИЗУЧЕНО",$E77,0)</f>
        <v>0</v>
      </c>
      <c r="P77" s="21">
        <f>IF(Технологии!AW21="ИЗУЧЕНО",$E77,0)</f>
        <v>0</v>
      </c>
      <c r="Q77" s="21">
        <f>IF(Технологии!AX21="ИЗУЧЕНО",$E77,0)</f>
        <v>0</v>
      </c>
      <c r="R77" s="21">
        <f>IF(Технологии!AY21="ИЗУЧЕНО",$E77,0)</f>
        <v>0</v>
      </c>
      <c r="S77" s="21">
        <f>IF(Технологии!AZ21="ИЗУЧЕНО",$E77,0)</f>
        <v>0</v>
      </c>
      <c r="T77" s="21">
        <f>IF(Технологии!BA21="ИЗУЧЕНО",$E77,0)</f>
        <v>0</v>
      </c>
      <c r="U77" s="21">
        <f>IF(Технологии!BB21="ИЗУЧЕНО",$E77,0)</f>
        <v>0</v>
      </c>
      <c r="V77" s="21">
        <f>IF(Технологии!BC21="ИЗУЧЕНО",$E77,0)</f>
        <v>0</v>
      </c>
      <c r="W77" s="21">
        <f>IF(Технологии!BD21="ИЗУЧЕНО",$E77,0)</f>
        <v>0</v>
      </c>
      <c r="X77" s="21">
        <f>IF(Технологии!BE21="ИЗУЧЕНО",$E77,0)</f>
        <v>0</v>
      </c>
      <c r="Y77" s="21">
        <f>IF(Технологии!BF21="ИЗУЧЕНО",$E77,0)</f>
        <v>0</v>
      </c>
    </row>
    <row r="78" spans="1:25">
      <c r="A78" s="19" t="s">
        <v>113</v>
      </c>
      <c r="B78" s="18" t="s">
        <v>114</v>
      </c>
      <c r="C78" s="18" t="s">
        <v>260</v>
      </c>
      <c r="D78" s="18" t="s">
        <v>387</v>
      </c>
      <c r="E78" s="20">
        <v>-0.3</v>
      </c>
      <c r="F78" s="18" t="str">
        <f>IF(Технологии!BH21="","",Технологии!BH21)</f>
        <v/>
      </c>
      <c r="G78" s="18" t="s">
        <v>435</v>
      </c>
      <c r="J78" s="21">
        <f>0</f>
        <v>0</v>
      </c>
      <c r="K78" s="21">
        <f>IF(Технологии!AR21="ИЗУЧЕНО",$E78,0)</f>
        <v>0</v>
      </c>
      <c r="L78" s="21">
        <f>IF(Технологии!AS21="ИЗУЧЕНО",$E78,0)</f>
        <v>0</v>
      </c>
      <c r="M78" s="21">
        <f>IF(Технологии!AT21="ИЗУЧЕНО",$E78,0)</f>
        <v>0</v>
      </c>
      <c r="N78" s="21">
        <f>IF(Технологии!AU21="ИЗУЧЕНО",$E78,0)</f>
        <v>0</v>
      </c>
      <c r="O78" s="21">
        <f>IF(Технологии!AV21="ИЗУЧЕНО",$E78,0)</f>
        <v>0</v>
      </c>
      <c r="P78" s="21">
        <f>IF(Технологии!AW21="ИЗУЧЕНО",$E78,0)</f>
        <v>0</v>
      </c>
      <c r="Q78" s="21">
        <f>IF(Технологии!AX21="ИЗУЧЕНО",$E78,0)</f>
        <v>0</v>
      </c>
      <c r="R78" s="21">
        <f>IF(Технологии!AY21="ИЗУЧЕНО",$E78,0)</f>
        <v>0</v>
      </c>
      <c r="S78" s="21">
        <f>IF(Технологии!AZ21="ИЗУЧЕНО",$E78,0)</f>
        <v>0</v>
      </c>
      <c r="T78" s="21">
        <f>IF(Технологии!BA21="ИЗУЧЕНО",$E78,0)</f>
        <v>0</v>
      </c>
      <c r="U78" s="21">
        <f>IF(Технологии!BB21="ИЗУЧЕНО",$E78,0)</f>
        <v>0</v>
      </c>
      <c r="V78" s="21">
        <f>IF(Технологии!BC21="ИЗУЧЕНО",$E78,0)</f>
        <v>0</v>
      </c>
      <c r="W78" s="21">
        <f>IF(Технологии!BD21="ИЗУЧЕНО",$E78,0)</f>
        <v>0</v>
      </c>
      <c r="X78" s="21">
        <f>IF(Технологии!BE21="ИЗУЧЕНО",$E78,0)</f>
        <v>0</v>
      </c>
      <c r="Y78" s="21">
        <f>IF(Технологии!BF21="ИЗУЧЕНО",$E78,0)</f>
        <v>0</v>
      </c>
    </row>
    <row r="79" spans="1:25">
      <c r="A79" s="19" t="s">
        <v>113</v>
      </c>
      <c r="B79" s="18" t="s">
        <v>114</v>
      </c>
      <c r="C79" s="18" t="s">
        <v>266</v>
      </c>
      <c r="D79" s="18" t="s">
        <v>387</v>
      </c>
      <c r="E79" s="20">
        <v>-0.2</v>
      </c>
      <c r="F79" s="18" t="str">
        <f>IF(Технологии!BH21="","",Технологии!BH21)</f>
        <v/>
      </c>
      <c r="G79" s="18" t="s">
        <v>401</v>
      </c>
      <c r="J79" s="21">
        <f>0</f>
        <v>0</v>
      </c>
      <c r="K79" s="21">
        <f>IF(Технологии!AR21="ИЗУЧЕНО",$E79,0)</f>
        <v>0</v>
      </c>
      <c r="L79" s="21">
        <f>IF(Технологии!AS21="ИЗУЧЕНО",$E79,0)</f>
        <v>0</v>
      </c>
      <c r="M79" s="21">
        <f>IF(Технологии!AT21="ИЗУЧЕНО",$E79,0)</f>
        <v>0</v>
      </c>
      <c r="N79" s="21">
        <f>IF(Технологии!AU21="ИЗУЧЕНО",$E79,0)</f>
        <v>0</v>
      </c>
      <c r="O79" s="21">
        <f>IF(Технологии!AV21="ИЗУЧЕНО",$E79,0)</f>
        <v>0</v>
      </c>
      <c r="P79" s="21">
        <f>IF(Технологии!AW21="ИЗУЧЕНО",$E79,0)</f>
        <v>0</v>
      </c>
      <c r="Q79" s="21">
        <f>IF(Технологии!AX21="ИЗУЧЕНО",$E79,0)</f>
        <v>0</v>
      </c>
      <c r="R79" s="21">
        <f>IF(Технологии!AY21="ИЗУЧЕНО",$E79,0)</f>
        <v>0</v>
      </c>
      <c r="S79" s="21">
        <f>IF(Технологии!AZ21="ИЗУЧЕНО",$E79,0)</f>
        <v>0</v>
      </c>
      <c r="T79" s="21">
        <f>IF(Технологии!BA21="ИЗУЧЕНО",$E79,0)</f>
        <v>0</v>
      </c>
      <c r="U79" s="21">
        <f>IF(Технологии!BB21="ИЗУЧЕНО",$E79,0)</f>
        <v>0</v>
      </c>
      <c r="V79" s="21">
        <f>IF(Технологии!BC21="ИЗУЧЕНО",$E79,0)</f>
        <v>0</v>
      </c>
      <c r="W79" s="21">
        <f>IF(Технологии!BD21="ИЗУЧЕНО",$E79,0)</f>
        <v>0</v>
      </c>
      <c r="X79" s="21">
        <f>IF(Технологии!BE21="ИЗУЧЕНО",$E79,0)</f>
        <v>0</v>
      </c>
      <c r="Y79" s="21">
        <f>IF(Технологии!BF21="ИЗУЧЕНО",$E79,0)</f>
        <v>0</v>
      </c>
    </row>
    <row r="80" spans="1:25">
      <c r="A80" s="19" t="s">
        <v>113</v>
      </c>
      <c r="B80" s="18" t="s">
        <v>114</v>
      </c>
      <c r="C80" s="18" t="s">
        <v>311</v>
      </c>
      <c r="D80" s="18" t="s">
        <v>387</v>
      </c>
      <c r="E80" s="20">
        <v>-0.15</v>
      </c>
      <c r="F80" s="18" t="str">
        <f>IF(Технологии!BH21="","",Технологии!BH21)</f>
        <v/>
      </c>
      <c r="G80" s="18" t="s">
        <v>436</v>
      </c>
      <c r="J80" s="21">
        <f>0</f>
        <v>0</v>
      </c>
      <c r="K80" s="21">
        <f>IF(Технологии!AR21="ИЗУЧЕНО",$E80,0)</f>
        <v>0</v>
      </c>
      <c r="L80" s="21">
        <f>IF(Технологии!AS21="ИЗУЧЕНО",$E80,0)</f>
        <v>0</v>
      </c>
      <c r="M80" s="21">
        <f>IF(Технологии!AT21="ИЗУЧЕНО",$E80,0)</f>
        <v>0</v>
      </c>
      <c r="N80" s="21">
        <f>IF(Технологии!AU21="ИЗУЧЕНО",$E80,0)</f>
        <v>0</v>
      </c>
      <c r="O80" s="21">
        <f>IF(Технологии!AV21="ИЗУЧЕНО",$E80,0)</f>
        <v>0</v>
      </c>
      <c r="P80" s="21">
        <f>IF(Технологии!AW21="ИЗУЧЕНО",$E80,0)</f>
        <v>0</v>
      </c>
      <c r="Q80" s="21">
        <f>IF(Технологии!AX21="ИЗУЧЕНО",$E80,0)</f>
        <v>0</v>
      </c>
      <c r="R80" s="21">
        <f>IF(Технологии!AY21="ИЗУЧЕНО",$E80,0)</f>
        <v>0</v>
      </c>
      <c r="S80" s="21">
        <f>IF(Технологии!AZ21="ИЗУЧЕНО",$E80,0)</f>
        <v>0</v>
      </c>
      <c r="T80" s="21">
        <f>IF(Технологии!BA21="ИЗУЧЕНО",$E80,0)</f>
        <v>0</v>
      </c>
      <c r="U80" s="21">
        <f>IF(Технологии!BB21="ИЗУЧЕНО",$E80,0)</f>
        <v>0</v>
      </c>
      <c r="V80" s="21">
        <f>IF(Технологии!BC21="ИЗУЧЕНО",$E80,0)</f>
        <v>0</v>
      </c>
      <c r="W80" s="21">
        <f>IF(Технологии!BD21="ИЗУЧЕНО",$E80,0)</f>
        <v>0</v>
      </c>
      <c r="X80" s="21">
        <f>IF(Технологии!BE21="ИЗУЧЕНО",$E80,0)</f>
        <v>0</v>
      </c>
      <c r="Y80" s="21">
        <f>IF(Технологии!BF21="ИЗУЧЕНО",$E80,0)</f>
        <v>0</v>
      </c>
    </row>
    <row r="81" spans="1:25">
      <c r="A81" s="19" t="s">
        <v>117</v>
      </c>
      <c r="B81" s="18" t="s">
        <v>118</v>
      </c>
      <c r="C81" s="18" t="s">
        <v>286</v>
      </c>
      <c r="D81" s="18" t="s">
        <v>414</v>
      </c>
      <c r="E81" s="20">
        <v>0.15</v>
      </c>
      <c r="F81" s="18" t="str">
        <f>IF(Технологии!BH22="","",Технологии!BH22)</f>
        <v/>
      </c>
      <c r="G81" s="18" t="s">
        <v>437</v>
      </c>
      <c r="J81" s="21">
        <f>0</f>
        <v>0</v>
      </c>
      <c r="K81" s="21">
        <f>IF(Технологии!AR22="ИЗУЧЕНО",$E81,0)</f>
        <v>0</v>
      </c>
      <c r="L81" s="21">
        <f>IF(Технологии!AS22="ИЗУЧЕНО",$E81,0)</f>
        <v>0</v>
      </c>
      <c r="M81" s="21">
        <f>IF(Технологии!AT22="ИЗУЧЕНО",$E81,0)</f>
        <v>0</v>
      </c>
      <c r="N81" s="21">
        <f>IF(Технологии!AU22="ИЗУЧЕНО",$E81,0)</f>
        <v>0</v>
      </c>
      <c r="O81" s="21">
        <f>IF(Технологии!AV22="ИЗУЧЕНО",$E81,0)</f>
        <v>0</v>
      </c>
      <c r="P81" s="21">
        <f>IF(Технологии!AW22="ИЗУЧЕНО",$E81,0)</f>
        <v>0</v>
      </c>
      <c r="Q81" s="21">
        <f>IF(Технологии!AX22="ИЗУЧЕНО",$E81,0)</f>
        <v>0</v>
      </c>
      <c r="R81" s="21">
        <f>IF(Технологии!AY22="ИЗУЧЕНО",$E81,0)</f>
        <v>0</v>
      </c>
      <c r="S81" s="21">
        <f>IF(Технологии!AZ22="ИЗУЧЕНО",$E81,0)</f>
        <v>0</v>
      </c>
      <c r="T81" s="21">
        <f>IF(Технологии!BA22="ИЗУЧЕНО",$E81,0)</f>
        <v>0</v>
      </c>
      <c r="U81" s="21">
        <f>IF(Технологии!BB22="ИЗУЧЕНО",$E81,0)</f>
        <v>0</v>
      </c>
      <c r="V81" s="21">
        <f>IF(Технологии!BC22="ИЗУЧЕНО",$E81,0)</f>
        <v>0</v>
      </c>
      <c r="W81" s="21">
        <f>IF(Технологии!BD22="ИЗУЧЕНО",$E81,0)</f>
        <v>0</v>
      </c>
      <c r="X81" s="21">
        <f>IF(Технологии!BE22="ИЗУЧЕНО",$E81,0)</f>
        <v>0</v>
      </c>
      <c r="Y81" s="21">
        <f>IF(Технологии!BF22="ИЗУЧЕНО",$E81,0)</f>
        <v>0</v>
      </c>
    </row>
    <row r="82" spans="1:25">
      <c r="A82" s="19" t="s">
        <v>117</v>
      </c>
      <c r="B82" s="18" t="s">
        <v>118</v>
      </c>
      <c r="C82" s="18" t="s">
        <v>291</v>
      </c>
      <c r="D82" s="18" t="s">
        <v>414</v>
      </c>
      <c r="E82" s="20">
        <v>0.1</v>
      </c>
      <c r="F82" s="18" t="str">
        <f>IF(Технологии!BH22="","",Технологии!BH22)</f>
        <v/>
      </c>
      <c r="G82" s="18" t="s">
        <v>438</v>
      </c>
      <c r="J82" s="21">
        <f>0</f>
        <v>0</v>
      </c>
      <c r="K82" s="21">
        <f>IF(Технологии!AR22="ИЗУЧЕНО",$E82,0)</f>
        <v>0</v>
      </c>
      <c r="L82" s="21">
        <f>IF(Технологии!AS22="ИЗУЧЕНО",$E82,0)</f>
        <v>0</v>
      </c>
      <c r="M82" s="21">
        <f>IF(Технологии!AT22="ИЗУЧЕНО",$E82,0)</f>
        <v>0</v>
      </c>
      <c r="N82" s="21">
        <f>IF(Технологии!AU22="ИЗУЧЕНО",$E82,0)</f>
        <v>0</v>
      </c>
      <c r="O82" s="21">
        <f>IF(Технологии!AV22="ИЗУЧЕНО",$E82,0)</f>
        <v>0</v>
      </c>
      <c r="P82" s="21">
        <f>IF(Технологии!AW22="ИЗУЧЕНО",$E82,0)</f>
        <v>0</v>
      </c>
      <c r="Q82" s="21">
        <f>IF(Технологии!AX22="ИЗУЧЕНО",$E82,0)</f>
        <v>0</v>
      </c>
      <c r="R82" s="21">
        <f>IF(Технологии!AY22="ИЗУЧЕНО",$E82,0)</f>
        <v>0</v>
      </c>
      <c r="S82" s="21">
        <f>IF(Технологии!AZ22="ИЗУЧЕНО",$E82,0)</f>
        <v>0</v>
      </c>
      <c r="T82" s="21">
        <f>IF(Технологии!BA22="ИЗУЧЕНО",$E82,0)</f>
        <v>0</v>
      </c>
      <c r="U82" s="21">
        <f>IF(Технологии!BB22="ИЗУЧЕНО",$E82,0)</f>
        <v>0</v>
      </c>
      <c r="V82" s="21">
        <f>IF(Технологии!BC22="ИЗУЧЕНО",$E82,0)</f>
        <v>0</v>
      </c>
      <c r="W82" s="21">
        <f>IF(Технологии!BD22="ИЗУЧЕНО",$E82,0)</f>
        <v>0</v>
      </c>
      <c r="X82" s="21">
        <f>IF(Технологии!BE22="ИЗУЧЕНО",$E82,0)</f>
        <v>0</v>
      </c>
      <c r="Y82" s="21">
        <f>IF(Технологии!BF22="ИЗУЧЕНО",$E82,0)</f>
        <v>0</v>
      </c>
    </row>
    <row r="83" spans="1:25">
      <c r="A83" s="19" t="s">
        <v>117</v>
      </c>
      <c r="B83" s="18" t="s">
        <v>118</v>
      </c>
      <c r="C83" s="18" t="s">
        <v>285</v>
      </c>
      <c r="D83" s="18" t="s">
        <v>387</v>
      </c>
      <c r="E83" s="20">
        <v>0.25</v>
      </c>
      <c r="F83" s="18" t="str">
        <f>IF(Технологии!BH22="","",Технологии!BH22)</f>
        <v/>
      </c>
      <c r="G83" s="18" t="s">
        <v>439</v>
      </c>
      <c r="J83" s="21">
        <f>0</f>
        <v>0</v>
      </c>
      <c r="K83" s="21">
        <f>IF(Технологии!AR22="ИЗУЧЕНО",$E83,0)</f>
        <v>0</v>
      </c>
      <c r="L83" s="21">
        <f>IF(Технологии!AS22="ИЗУЧЕНО",$E83,0)</f>
        <v>0</v>
      </c>
      <c r="M83" s="21">
        <f>IF(Технологии!AT22="ИЗУЧЕНО",$E83,0)</f>
        <v>0</v>
      </c>
      <c r="N83" s="21">
        <f>IF(Технологии!AU22="ИЗУЧЕНО",$E83,0)</f>
        <v>0</v>
      </c>
      <c r="O83" s="21">
        <f>IF(Технологии!AV22="ИЗУЧЕНО",$E83,0)</f>
        <v>0</v>
      </c>
      <c r="P83" s="21">
        <f>IF(Технологии!AW22="ИЗУЧЕНО",$E83,0)</f>
        <v>0</v>
      </c>
      <c r="Q83" s="21">
        <f>IF(Технологии!AX22="ИЗУЧЕНО",$E83,0)</f>
        <v>0</v>
      </c>
      <c r="R83" s="21">
        <f>IF(Технологии!AY22="ИЗУЧЕНО",$E83,0)</f>
        <v>0</v>
      </c>
      <c r="S83" s="21">
        <f>IF(Технологии!AZ22="ИЗУЧЕНО",$E83,0)</f>
        <v>0</v>
      </c>
      <c r="T83" s="21">
        <f>IF(Технологии!BA22="ИЗУЧЕНО",$E83,0)</f>
        <v>0</v>
      </c>
      <c r="U83" s="21">
        <f>IF(Технологии!BB22="ИЗУЧЕНО",$E83,0)</f>
        <v>0</v>
      </c>
      <c r="V83" s="21">
        <f>IF(Технологии!BC22="ИЗУЧЕНО",$E83,0)</f>
        <v>0</v>
      </c>
      <c r="W83" s="21">
        <f>IF(Технологии!BD22="ИЗУЧЕНО",$E83,0)</f>
        <v>0</v>
      </c>
      <c r="X83" s="21">
        <f>IF(Технологии!BE22="ИЗУЧЕНО",$E83,0)</f>
        <v>0</v>
      </c>
      <c r="Y83" s="21">
        <f>IF(Технологии!BF22="ИЗУЧЕНО",$E83,0)</f>
        <v>0</v>
      </c>
    </row>
    <row r="84" spans="1:25">
      <c r="A84" s="19" t="s">
        <v>117</v>
      </c>
      <c r="B84" s="18" t="s">
        <v>118</v>
      </c>
      <c r="C84" s="18" t="s">
        <v>292</v>
      </c>
      <c r="D84" s="18" t="s">
        <v>387</v>
      </c>
      <c r="E84" s="20">
        <v>0.2</v>
      </c>
      <c r="F84" s="18" t="str">
        <f>IF(Технологии!BH22="","",Технологии!BH22)</f>
        <v/>
      </c>
      <c r="G84" s="18" t="s">
        <v>427</v>
      </c>
      <c r="J84" s="21">
        <f>0</f>
        <v>0</v>
      </c>
      <c r="K84" s="21">
        <f>IF(Технологии!AR22="ИЗУЧЕНО",$E84,0)</f>
        <v>0</v>
      </c>
      <c r="L84" s="21">
        <f>IF(Технологии!AS22="ИЗУЧЕНО",$E84,0)</f>
        <v>0</v>
      </c>
      <c r="M84" s="21">
        <f>IF(Технологии!AT22="ИЗУЧЕНО",$E84,0)</f>
        <v>0</v>
      </c>
      <c r="N84" s="21">
        <f>IF(Технологии!AU22="ИЗУЧЕНО",$E84,0)</f>
        <v>0</v>
      </c>
      <c r="O84" s="21">
        <f>IF(Технологии!AV22="ИЗУЧЕНО",$E84,0)</f>
        <v>0</v>
      </c>
      <c r="P84" s="21">
        <f>IF(Технологии!AW22="ИЗУЧЕНО",$E84,0)</f>
        <v>0</v>
      </c>
      <c r="Q84" s="21">
        <f>IF(Технологии!AX22="ИЗУЧЕНО",$E84,0)</f>
        <v>0</v>
      </c>
      <c r="R84" s="21">
        <f>IF(Технологии!AY22="ИЗУЧЕНО",$E84,0)</f>
        <v>0</v>
      </c>
      <c r="S84" s="21">
        <f>IF(Технологии!AZ22="ИЗУЧЕНО",$E84,0)</f>
        <v>0</v>
      </c>
      <c r="T84" s="21">
        <f>IF(Технологии!BA22="ИЗУЧЕНО",$E84,0)</f>
        <v>0</v>
      </c>
      <c r="U84" s="21">
        <f>IF(Технологии!BB22="ИЗУЧЕНО",$E84,0)</f>
        <v>0</v>
      </c>
      <c r="V84" s="21">
        <f>IF(Технологии!BC22="ИЗУЧЕНО",$E84,0)</f>
        <v>0</v>
      </c>
      <c r="W84" s="21">
        <f>IF(Технологии!BD22="ИЗУЧЕНО",$E84,0)</f>
        <v>0</v>
      </c>
      <c r="X84" s="21">
        <f>IF(Технологии!BE22="ИЗУЧЕНО",$E84,0)</f>
        <v>0</v>
      </c>
      <c r="Y84" s="21">
        <f>IF(Технологии!BF22="ИЗУЧЕНО",$E84,0)</f>
        <v>0</v>
      </c>
    </row>
    <row r="85" spans="1:25">
      <c r="A85" s="19" t="s">
        <v>117</v>
      </c>
      <c r="B85" s="18" t="s">
        <v>118</v>
      </c>
      <c r="C85" s="18" t="s">
        <v>271</v>
      </c>
      <c r="D85" s="18" t="s">
        <v>414</v>
      </c>
      <c r="E85" s="20">
        <v>0.08</v>
      </c>
      <c r="F85" s="18" t="str">
        <f>IF(Технологии!BH22="","",Технологии!BH22)</f>
        <v/>
      </c>
      <c r="G85" s="18" t="s">
        <v>426</v>
      </c>
      <c r="J85" s="21">
        <f>0</f>
        <v>0</v>
      </c>
      <c r="K85" s="21">
        <f>IF(Технологии!AR22="ИЗУЧЕНО",$E85,0)</f>
        <v>0</v>
      </c>
      <c r="L85" s="21">
        <f>IF(Технологии!AS22="ИЗУЧЕНО",$E85,0)</f>
        <v>0</v>
      </c>
      <c r="M85" s="21">
        <f>IF(Технологии!AT22="ИЗУЧЕНО",$E85,0)</f>
        <v>0</v>
      </c>
      <c r="N85" s="21">
        <f>IF(Технологии!AU22="ИЗУЧЕНО",$E85,0)</f>
        <v>0</v>
      </c>
      <c r="O85" s="21">
        <f>IF(Технологии!AV22="ИЗУЧЕНО",$E85,0)</f>
        <v>0</v>
      </c>
      <c r="P85" s="21">
        <f>IF(Технологии!AW22="ИЗУЧЕНО",$E85,0)</f>
        <v>0</v>
      </c>
      <c r="Q85" s="21">
        <f>IF(Технологии!AX22="ИЗУЧЕНО",$E85,0)</f>
        <v>0</v>
      </c>
      <c r="R85" s="21">
        <f>IF(Технологии!AY22="ИЗУЧЕНО",$E85,0)</f>
        <v>0</v>
      </c>
      <c r="S85" s="21">
        <f>IF(Технологии!AZ22="ИЗУЧЕНО",$E85,0)</f>
        <v>0</v>
      </c>
      <c r="T85" s="21">
        <f>IF(Технологии!BA22="ИЗУЧЕНО",$E85,0)</f>
        <v>0</v>
      </c>
      <c r="U85" s="21">
        <f>IF(Технологии!BB22="ИЗУЧЕНО",$E85,0)</f>
        <v>0</v>
      </c>
      <c r="V85" s="21">
        <f>IF(Технологии!BC22="ИЗУЧЕНО",$E85,0)</f>
        <v>0</v>
      </c>
      <c r="W85" s="21">
        <f>IF(Технологии!BD22="ИЗУЧЕНО",$E85,0)</f>
        <v>0</v>
      </c>
      <c r="X85" s="21">
        <f>IF(Технологии!BE22="ИЗУЧЕНО",$E85,0)</f>
        <v>0</v>
      </c>
      <c r="Y85" s="21">
        <f>IF(Технологии!BF22="ИЗУЧЕНО",$E85,0)</f>
        <v>0</v>
      </c>
    </row>
    <row r="86" spans="1:25">
      <c r="A86" s="19" t="s">
        <v>117</v>
      </c>
      <c r="B86" s="18" t="s">
        <v>118</v>
      </c>
      <c r="C86" s="18" t="s">
        <v>373</v>
      </c>
      <c r="D86" s="18" t="s">
        <v>405</v>
      </c>
      <c r="E86" s="20">
        <v>0.15</v>
      </c>
      <c r="F86" s="18" t="str">
        <f>IF(Технологии!BH22="","",Технологии!BH22)</f>
        <v/>
      </c>
      <c r="G86" s="18" t="s">
        <v>440</v>
      </c>
      <c r="J86" s="21">
        <f>0</f>
        <v>0</v>
      </c>
      <c r="K86" s="21">
        <f>IF(Технологии!AR22="ИЗУЧЕНО",$E86,0)</f>
        <v>0</v>
      </c>
      <c r="L86" s="21">
        <f>IF(Технологии!AS22="ИЗУЧЕНО",$E86,0)</f>
        <v>0</v>
      </c>
      <c r="M86" s="21">
        <f>IF(Технологии!AT22="ИЗУЧЕНО",$E86,0)</f>
        <v>0</v>
      </c>
      <c r="N86" s="21">
        <f>IF(Технологии!AU22="ИЗУЧЕНО",$E86,0)</f>
        <v>0</v>
      </c>
      <c r="O86" s="21">
        <f>IF(Технологии!AV22="ИЗУЧЕНО",$E86,0)</f>
        <v>0</v>
      </c>
      <c r="P86" s="21">
        <f>IF(Технологии!AW22="ИЗУЧЕНО",$E86,0)</f>
        <v>0</v>
      </c>
      <c r="Q86" s="21">
        <f>IF(Технологии!AX22="ИЗУЧЕНО",$E86,0)</f>
        <v>0</v>
      </c>
      <c r="R86" s="21">
        <f>IF(Технологии!AY22="ИЗУЧЕНО",$E86,0)</f>
        <v>0</v>
      </c>
      <c r="S86" s="21">
        <f>IF(Технологии!AZ22="ИЗУЧЕНО",$E86,0)</f>
        <v>0</v>
      </c>
      <c r="T86" s="21">
        <f>IF(Технологии!BA22="ИЗУЧЕНО",$E86,0)</f>
        <v>0</v>
      </c>
      <c r="U86" s="21">
        <f>IF(Технологии!BB22="ИЗУЧЕНО",$E86,0)</f>
        <v>0</v>
      </c>
      <c r="V86" s="21">
        <f>IF(Технологии!BC22="ИЗУЧЕНО",$E86,0)</f>
        <v>0</v>
      </c>
      <c r="W86" s="21">
        <f>IF(Технологии!BD22="ИЗУЧЕНО",$E86,0)</f>
        <v>0</v>
      </c>
      <c r="X86" s="21">
        <f>IF(Технологии!BE22="ИЗУЧЕНО",$E86,0)</f>
        <v>0</v>
      </c>
      <c r="Y86" s="21">
        <f>IF(Технологии!BF22="ИЗУЧЕНО",$E86,0)</f>
        <v>0</v>
      </c>
    </row>
    <row r="87" spans="1:25">
      <c r="A87" s="19" t="s">
        <v>117</v>
      </c>
      <c r="B87" s="18" t="s">
        <v>118</v>
      </c>
      <c r="C87" s="18" t="s">
        <v>260</v>
      </c>
      <c r="D87" s="18" t="s">
        <v>387</v>
      </c>
      <c r="E87" s="20">
        <v>-0.4</v>
      </c>
      <c r="F87" s="18" t="str">
        <f>IF(Технологии!BH22="","",Технологии!BH22)</f>
        <v/>
      </c>
      <c r="G87" s="18" t="s">
        <v>441</v>
      </c>
      <c r="J87" s="21">
        <f>0</f>
        <v>0</v>
      </c>
      <c r="K87" s="21">
        <f>IF(Технологии!AR22="ИЗУЧЕНО",$E87,0)</f>
        <v>0</v>
      </c>
      <c r="L87" s="21">
        <f>IF(Технологии!AS22="ИЗУЧЕНО",$E87,0)</f>
        <v>0</v>
      </c>
      <c r="M87" s="21">
        <f>IF(Технологии!AT22="ИЗУЧЕНО",$E87,0)</f>
        <v>0</v>
      </c>
      <c r="N87" s="21">
        <f>IF(Технологии!AU22="ИЗУЧЕНО",$E87,0)</f>
        <v>0</v>
      </c>
      <c r="O87" s="21">
        <f>IF(Технологии!AV22="ИЗУЧЕНО",$E87,0)</f>
        <v>0</v>
      </c>
      <c r="P87" s="21">
        <f>IF(Технологии!AW22="ИЗУЧЕНО",$E87,0)</f>
        <v>0</v>
      </c>
      <c r="Q87" s="21">
        <f>IF(Технологии!AX22="ИЗУЧЕНО",$E87,0)</f>
        <v>0</v>
      </c>
      <c r="R87" s="21">
        <f>IF(Технологии!AY22="ИЗУЧЕНО",$E87,0)</f>
        <v>0</v>
      </c>
      <c r="S87" s="21">
        <f>IF(Технологии!AZ22="ИЗУЧЕНО",$E87,0)</f>
        <v>0</v>
      </c>
      <c r="T87" s="21">
        <f>IF(Технологии!BA22="ИЗУЧЕНО",$E87,0)</f>
        <v>0</v>
      </c>
      <c r="U87" s="21">
        <f>IF(Технологии!BB22="ИЗУЧЕНО",$E87,0)</f>
        <v>0</v>
      </c>
      <c r="V87" s="21">
        <f>IF(Технологии!BC22="ИЗУЧЕНО",$E87,0)</f>
        <v>0</v>
      </c>
      <c r="W87" s="21">
        <f>IF(Технологии!BD22="ИЗУЧЕНО",$E87,0)</f>
        <v>0</v>
      </c>
      <c r="X87" s="21">
        <f>IF(Технологии!BE22="ИЗУЧЕНО",$E87,0)</f>
        <v>0</v>
      </c>
      <c r="Y87" s="21">
        <f>IF(Технологии!BF22="ИЗУЧЕНО",$E87,0)</f>
        <v>0</v>
      </c>
    </row>
    <row r="88" spans="1:25">
      <c r="A88" s="19" t="s">
        <v>117</v>
      </c>
      <c r="B88" s="18" t="s">
        <v>118</v>
      </c>
      <c r="C88" s="18" t="s">
        <v>266</v>
      </c>
      <c r="D88" s="18" t="s">
        <v>387</v>
      </c>
      <c r="E88" s="20">
        <v>-0.25</v>
      </c>
      <c r="F88" s="18" t="str">
        <f>IF(Технологии!BH22="","",Технологии!BH22)</f>
        <v/>
      </c>
      <c r="G88" s="18" t="s">
        <v>408</v>
      </c>
      <c r="J88" s="21">
        <f>0</f>
        <v>0</v>
      </c>
      <c r="K88" s="21">
        <f>IF(Технологии!AR22="ИЗУЧЕНО",$E88,0)</f>
        <v>0</v>
      </c>
      <c r="L88" s="21">
        <f>IF(Технологии!AS22="ИЗУЧЕНО",$E88,0)</f>
        <v>0</v>
      </c>
      <c r="M88" s="21">
        <f>IF(Технологии!AT22="ИЗУЧЕНО",$E88,0)</f>
        <v>0</v>
      </c>
      <c r="N88" s="21">
        <f>IF(Технологии!AU22="ИЗУЧЕНО",$E88,0)</f>
        <v>0</v>
      </c>
      <c r="O88" s="21">
        <f>IF(Технологии!AV22="ИЗУЧЕНО",$E88,0)</f>
        <v>0</v>
      </c>
      <c r="P88" s="21">
        <f>IF(Технологии!AW22="ИЗУЧЕНО",$E88,0)</f>
        <v>0</v>
      </c>
      <c r="Q88" s="21">
        <f>IF(Технологии!AX22="ИЗУЧЕНО",$E88,0)</f>
        <v>0</v>
      </c>
      <c r="R88" s="21">
        <f>IF(Технологии!AY22="ИЗУЧЕНО",$E88,0)</f>
        <v>0</v>
      </c>
      <c r="S88" s="21">
        <f>IF(Технологии!AZ22="ИЗУЧЕНО",$E88,0)</f>
        <v>0</v>
      </c>
      <c r="T88" s="21">
        <f>IF(Технологии!BA22="ИЗУЧЕНО",$E88,0)</f>
        <v>0</v>
      </c>
      <c r="U88" s="21">
        <f>IF(Технологии!BB22="ИЗУЧЕНО",$E88,0)</f>
        <v>0</v>
      </c>
      <c r="V88" s="21">
        <f>IF(Технологии!BC22="ИЗУЧЕНО",$E88,0)</f>
        <v>0</v>
      </c>
      <c r="W88" s="21">
        <f>IF(Технологии!BD22="ИЗУЧЕНО",$E88,0)</f>
        <v>0</v>
      </c>
      <c r="X88" s="21">
        <f>IF(Технологии!BE22="ИЗУЧЕНО",$E88,0)</f>
        <v>0</v>
      </c>
      <c r="Y88" s="21">
        <f>IF(Технологии!BF22="ИЗУЧЕНО",$E88,0)</f>
        <v>0</v>
      </c>
    </row>
    <row r="89" spans="1:25">
      <c r="A89" s="19" t="s">
        <v>117</v>
      </c>
      <c r="B89" s="18" t="s">
        <v>118</v>
      </c>
      <c r="C89" s="18" t="s">
        <v>303</v>
      </c>
      <c r="D89" s="18" t="s">
        <v>387</v>
      </c>
      <c r="E89" s="20">
        <v>-0.2</v>
      </c>
      <c r="F89" s="18" t="str">
        <f>IF(Технологии!BH22="","",Технологии!BH22)</f>
        <v/>
      </c>
      <c r="G89" s="18" t="s">
        <v>442</v>
      </c>
      <c r="J89" s="21">
        <f>0</f>
        <v>0</v>
      </c>
      <c r="K89" s="21">
        <f>IF(Технологии!AR22="ИЗУЧЕНО",$E89,0)</f>
        <v>0</v>
      </c>
      <c r="L89" s="21">
        <f>IF(Технологии!AS22="ИЗУЧЕНО",$E89,0)</f>
        <v>0</v>
      </c>
      <c r="M89" s="21">
        <f>IF(Технологии!AT22="ИЗУЧЕНО",$E89,0)</f>
        <v>0</v>
      </c>
      <c r="N89" s="21">
        <f>IF(Технологии!AU22="ИЗУЧЕНО",$E89,0)</f>
        <v>0</v>
      </c>
      <c r="O89" s="21">
        <f>IF(Технологии!AV22="ИЗУЧЕНО",$E89,0)</f>
        <v>0</v>
      </c>
      <c r="P89" s="21">
        <f>IF(Технологии!AW22="ИЗУЧЕНО",$E89,0)</f>
        <v>0</v>
      </c>
      <c r="Q89" s="21">
        <f>IF(Технологии!AX22="ИЗУЧЕНО",$E89,0)</f>
        <v>0</v>
      </c>
      <c r="R89" s="21">
        <f>IF(Технологии!AY22="ИЗУЧЕНО",$E89,0)</f>
        <v>0</v>
      </c>
      <c r="S89" s="21">
        <f>IF(Технологии!AZ22="ИЗУЧЕНО",$E89,0)</f>
        <v>0</v>
      </c>
      <c r="T89" s="21">
        <f>IF(Технологии!BA22="ИЗУЧЕНО",$E89,0)</f>
        <v>0</v>
      </c>
      <c r="U89" s="21">
        <f>IF(Технологии!BB22="ИЗУЧЕНО",$E89,0)</f>
        <v>0</v>
      </c>
      <c r="V89" s="21">
        <f>IF(Технологии!BC22="ИЗУЧЕНО",$E89,0)</f>
        <v>0</v>
      </c>
      <c r="W89" s="21">
        <f>IF(Технологии!BD22="ИЗУЧЕНО",$E89,0)</f>
        <v>0</v>
      </c>
      <c r="X89" s="21">
        <f>IF(Технологии!BE22="ИЗУЧЕНО",$E89,0)</f>
        <v>0</v>
      </c>
      <c r="Y89" s="21">
        <f>IF(Технологии!BF22="ИЗУЧЕНО",$E89,0)</f>
        <v>0</v>
      </c>
    </row>
    <row r="90" spans="1:25">
      <c r="A90" s="19" t="s">
        <v>117</v>
      </c>
      <c r="B90" s="18" t="s">
        <v>118</v>
      </c>
      <c r="C90" s="18" t="s">
        <v>311</v>
      </c>
      <c r="D90" s="18" t="s">
        <v>387</v>
      </c>
      <c r="E90" s="20">
        <v>-0.2</v>
      </c>
      <c r="F90" s="18" t="str">
        <f>IF(Технологии!BH22="","",Технологии!BH22)</f>
        <v/>
      </c>
      <c r="G90" s="18" t="s">
        <v>443</v>
      </c>
      <c r="J90" s="21">
        <f>0</f>
        <v>0</v>
      </c>
      <c r="K90" s="21">
        <f>IF(Технологии!AR22="ИЗУЧЕНО",$E90,0)</f>
        <v>0</v>
      </c>
      <c r="L90" s="21">
        <f>IF(Технологии!AS22="ИЗУЧЕНО",$E90,0)</f>
        <v>0</v>
      </c>
      <c r="M90" s="21">
        <f>IF(Технологии!AT22="ИЗУЧЕНО",$E90,0)</f>
        <v>0</v>
      </c>
      <c r="N90" s="21">
        <f>IF(Технологии!AU22="ИЗУЧЕНО",$E90,0)</f>
        <v>0</v>
      </c>
      <c r="O90" s="21">
        <f>IF(Технологии!AV22="ИЗУЧЕНО",$E90,0)</f>
        <v>0</v>
      </c>
      <c r="P90" s="21">
        <f>IF(Технологии!AW22="ИЗУЧЕНО",$E90,0)</f>
        <v>0</v>
      </c>
      <c r="Q90" s="21">
        <f>IF(Технологии!AX22="ИЗУЧЕНО",$E90,0)</f>
        <v>0</v>
      </c>
      <c r="R90" s="21">
        <f>IF(Технологии!AY22="ИЗУЧЕНО",$E90,0)</f>
        <v>0</v>
      </c>
      <c r="S90" s="21">
        <f>IF(Технологии!AZ22="ИЗУЧЕНО",$E90,0)</f>
        <v>0</v>
      </c>
      <c r="T90" s="21">
        <f>IF(Технологии!BA22="ИЗУЧЕНО",$E90,0)</f>
        <v>0</v>
      </c>
      <c r="U90" s="21">
        <f>IF(Технологии!BB22="ИЗУЧЕНО",$E90,0)</f>
        <v>0</v>
      </c>
      <c r="V90" s="21">
        <f>IF(Технологии!BC22="ИЗУЧЕНО",$E90,0)</f>
        <v>0</v>
      </c>
      <c r="W90" s="21">
        <f>IF(Технологии!BD22="ИЗУЧЕНО",$E90,0)</f>
        <v>0</v>
      </c>
      <c r="X90" s="21">
        <f>IF(Технологии!BE22="ИЗУЧЕНО",$E90,0)</f>
        <v>0</v>
      </c>
      <c r="Y90" s="21">
        <f>IF(Технологии!BF22="ИЗУЧЕНО",$E90,0)</f>
        <v>0</v>
      </c>
    </row>
    <row r="91" spans="1:25">
      <c r="A91" s="19" t="s">
        <v>121</v>
      </c>
      <c r="B91" s="18" t="s">
        <v>123</v>
      </c>
      <c r="C91" s="18" t="s">
        <v>300</v>
      </c>
      <c r="D91" s="18" t="s">
        <v>387</v>
      </c>
      <c r="E91" s="20">
        <v>0.2</v>
      </c>
      <c r="F91" s="18" t="str">
        <f>IF(Технологии!BH23="","",Технологии!BH23)</f>
        <v/>
      </c>
      <c r="G91" s="18" t="s">
        <v>444</v>
      </c>
      <c r="J91" s="21">
        <f>0</f>
        <v>0</v>
      </c>
      <c r="K91" s="21">
        <f>IF(Технологии!AR23="ИЗУЧЕНО",$E91,0)</f>
        <v>0</v>
      </c>
      <c r="L91" s="21">
        <f>IF(Технологии!AS23="ИЗУЧЕНО",$E91,0)</f>
        <v>0</v>
      </c>
      <c r="M91" s="21">
        <f>IF(Технологии!AT23="ИЗУЧЕНО",$E91,0)</f>
        <v>0</v>
      </c>
      <c r="N91" s="21">
        <f>IF(Технологии!AU23="ИЗУЧЕНО",$E91,0)</f>
        <v>0</v>
      </c>
      <c r="O91" s="21">
        <f>IF(Технологии!AV23="ИЗУЧЕНО",$E91,0)</f>
        <v>0</v>
      </c>
      <c r="P91" s="21">
        <f>IF(Технологии!AW23="ИЗУЧЕНО",$E91,0)</f>
        <v>0</v>
      </c>
      <c r="Q91" s="21">
        <f>IF(Технологии!AX23="ИЗУЧЕНО",$E91,0)</f>
        <v>0</v>
      </c>
      <c r="R91" s="21">
        <f>IF(Технологии!AY23="ИЗУЧЕНО",$E91,0)</f>
        <v>0</v>
      </c>
      <c r="S91" s="21">
        <f>IF(Технологии!AZ23="ИЗУЧЕНО",$E91,0)</f>
        <v>0</v>
      </c>
      <c r="T91" s="21">
        <f>IF(Технологии!BA23="ИЗУЧЕНО",$E91,0)</f>
        <v>0</v>
      </c>
      <c r="U91" s="21">
        <f>IF(Технологии!BB23="ИЗУЧЕНО",$E91,0)</f>
        <v>0</v>
      </c>
      <c r="V91" s="21">
        <f>IF(Технологии!BC23="ИЗУЧЕНО",$E91,0)</f>
        <v>0</v>
      </c>
      <c r="W91" s="21">
        <f>IF(Технологии!BD23="ИЗУЧЕНО",$E91,0)</f>
        <v>0</v>
      </c>
      <c r="X91" s="21">
        <f>IF(Технологии!BE23="ИЗУЧЕНО",$E91,0)</f>
        <v>0</v>
      </c>
      <c r="Y91" s="21">
        <f>IF(Технологии!BF23="ИЗУЧЕНО",$E91,0)</f>
        <v>0</v>
      </c>
    </row>
    <row r="92" spans="1:25">
      <c r="A92" s="19" t="s">
        <v>126</v>
      </c>
      <c r="B92" s="18" t="s">
        <v>127</v>
      </c>
      <c r="C92" s="18" t="s">
        <v>289</v>
      </c>
      <c r="D92" s="18" t="s">
        <v>387</v>
      </c>
      <c r="E92" s="20">
        <v>0.3</v>
      </c>
      <c r="F92" s="18" t="str">
        <f>IF(Технологии!BH24="","",Технологии!BH24)</f>
        <v/>
      </c>
      <c r="G92" s="18" t="s">
        <v>445</v>
      </c>
      <c r="J92" s="21">
        <f>0</f>
        <v>0</v>
      </c>
      <c r="K92" s="21">
        <f>IF(Технологии!AR24="ИЗУЧЕНО",$E92,0)</f>
        <v>0</v>
      </c>
      <c r="L92" s="21">
        <f>IF(Технологии!AS24="ИЗУЧЕНО",$E92,0)</f>
        <v>0</v>
      </c>
      <c r="M92" s="21">
        <f>IF(Технологии!AT24="ИЗУЧЕНО",$E92,0)</f>
        <v>0</v>
      </c>
      <c r="N92" s="21">
        <f>IF(Технологии!AU24="ИЗУЧЕНО",$E92,0)</f>
        <v>0</v>
      </c>
      <c r="O92" s="21">
        <f>IF(Технологии!AV24="ИЗУЧЕНО",$E92,0)</f>
        <v>0</v>
      </c>
      <c r="P92" s="21">
        <f>IF(Технологии!AW24="ИЗУЧЕНО",$E92,0)</f>
        <v>0</v>
      </c>
      <c r="Q92" s="21">
        <f>IF(Технологии!AX24="ИЗУЧЕНО",$E92,0)</f>
        <v>0</v>
      </c>
      <c r="R92" s="21">
        <f>IF(Технологии!AY24="ИЗУЧЕНО",$E92,0)</f>
        <v>0</v>
      </c>
      <c r="S92" s="21">
        <f>IF(Технологии!AZ24="ИЗУЧЕНО",$E92,0)</f>
        <v>0</v>
      </c>
      <c r="T92" s="21">
        <f>IF(Технологии!BA24="ИЗУЧЕНО",$E92,0)</f>
        <v>0</v>
      </c>
      <c r="U92" s="21">
        <f>IF(Технологии!BB24="ИЗУЧЕНО",$E92,0)</f>
        <v>0</v>
      </c>
      <c r="V92" s="21">
        <f>IF(Технологии!BC24="ИЗУЧЕНО",$E92,0)</f>
        <v>0</v>
      </c>
      <c r="W92" s="21">
        <f>IF(Технологии!BD24="ИЗУЧЕНО",$E92,0)</f>
        <v>0</v>
      </c>
      <c r="X92" s="21">
        <f>IF(Технологии!BE24="ИЗУЧЕНО",$E92,0)</f>
        <v>0</v>
      </c>
      <c r="Y92" s="21">
        <f>IF(Технологии!BF24="ИЗУЧЕНО",$E92,0)</f>
        <v>0</v>
      </c>
    </row>
    <row r="93" spans="1:25">
      <c r="A93" s="19" t="s">
        <v>126</v>
      </c>
      <c r="B93" s="18" t="s">
        <v>127</v>
      </c>
      <c r="C93" s="18" t="s">
        <v>289</v>
      </c>
      <c r="D93" s="18" t="s">
        <v>414</v>
      </c>
      <c r="E93" s="20">
        <v>0.1</v>
      </c>
      <c r="F93" s="18" t="str">
        <f>IF(Технологии!BH24="","",Технологии!BH24)</f>
        <v/>
      </c>
      <c r="G93" s="18" t="s">
        <v>445</v>
      </c>
      <c r="J93" s="21">
        <f>0</f>
        <v>0</v>
      </c>
      <c r="K93" s="21">
        <f>IF(Технологии!AR24="ИЗУЧЕНО",$E93,0)</f>
        <v>0</v>
      </c>
      <c r="L93" s="21">
        <f>IF(Технологии!AS24="ИЗУЧЕНО",$E93,0)</f>
        <v>0</v>
      </c>
      <c r="M93" s="21">
        <f>IF(Технологии!AT24="ИЗУЧЕНО",$E93,0)</f>
        <v>0</v>
      </c>
      <c r="N93" s="21">
        <f>IF(Технологии!AU24="ИЗУЧЕНО",$E93,0)</f>
        <v>0</v>
      </c>
      <c r="O93" s="21">
        <f>IF(Технологии!AV24="ИЗУЧЕНО",$E93,0)</f>
        <v>0</v>
      </c>
      <c r="P93" s="21">
        <f>IF(Технологии!AW24="ИЗУЧЕНО",$E93,0)</f>
        <v>0</v>
      </c>
      <c r="Q93" s="21">
        <f>IF(Технологии!AX24="ИЗУЧЕНО",$E93,0)</f>
        <v>0</v>
      </c>
      <c r="R93" s="21">
        <f>IF(Технологии!AY24="ИЗУЧЕНО",$E93,0)</f>
        <v>0</v>
      </c>
      <c r="S93" s="21">
        <f>IF(Технологии!AZ24="ИЗУЧЕНО",$E93,0)</f>
        <v>0</v>
      </c>
      <c r="T93" s="21">
        <f>IF(Технологии!BA24="ИЗУЧЕНО",$E93,0)</f>
        <v>0</v>
      </c>
      <c r="U93" s="21">
        <f>IF(Технологии!BB24="ИЗУЧЕНО",$E93,0)</f>
        <v>0</v>
      </c>
      <c r="V93" s="21">
        <f>IF(Технологии!BC24="ИЗУЧЕНО",$E93,0)</f>
        <v>0</v>
      </c>
      <c r="W93" s="21">
        <f>IF(Технологии!BD24="ИЗУЧЕНО",$E93,0)</f>
        <v>0</v>
      </c>
      <c r="X93" s="21">
        <f>IF(Технологии!BE24="ИЗУЧЕНО",$E93,0)</f>
        <v>0</v>
      </c>
      <c r="Y93" s="21">
        <f>IF(Технологии!BF24="ИЗУЧЕНО",$E93,0)</f>
        <v>0</v>
      </c>
    </row>
    <row r="94" spans="1:25">
      <c r="A94" s="19" t="s">
        <v>126</v>
      </c>
      <c r="B94" s="18" t="s">
        <v>127</v>
      </c>
      <c r="C94" s="18" t="s">
        <v>292</v>
      </c>
      <c r="D94" s="18" t="s">
        <v>387</v>
      </c>
      <c r="E94" s="20">
        <v>0.2</v>
      </c>
      <c r="F94" s="18" t="str">
        <f>IF(Технологии!BH24="","",Технологии!BH24)</f>
        <v/>
      </c>
      <c r="G94" s="18" t="s">
        <v>427</v>
      </c>
      <c r="J94" s="21">
        <f>0</f>
        <v>0</v>
      </c>
      <c r="K94" s="21">
        <f>IF(Технологии!AR24="ИЗУЧЕНО",$E94,0)</f>
        <v>0</v>
      </c>
      <c r="L94" s="21">
        <f>IF(Технологии!AS24="ИЗУЧЕНО",$E94,0)</f>
        <v>0</v>
      </c>
      <c r="M94" s="21">
        <f>IF(Технологии!AT24="ИЗУЧЕНО",$E94,0)</f>
        <v>0</v>
      </c>
      <c r="N94" s="21">
        <f>IF(Технологии!AU24="ИЗУЧЕНО",$E94,0)</f>
        <v>0</v>
      </c>
      <c r="O94" s="21">
        <f>IF(Технологии!AV24="ИЗУЧЕНО",$E94,0)</f>
        <v>0</v>
      </c>
      <c r="P94" s="21">
        <f>IF(Технологии!AW24="ИЗУЧЕНО",$E94,0)</f>
        <v>0</v>
      </c>
      <c r="Q94" s="21">
        <f>IF(Технологии!AX24="ИЗУЧЕНО",$E94,0)</f>
        <v>0</v>
      </c>
      <c r="R94" s="21">
        <f>IF(Технологии!AY24="ИЗУЧЕНО",$E94,0)</f>
        <v>0</v>
      </c>
      <c r="S94" s="21">
        <f>IF(Технологии!AZ24="ИЗУЧЕНО",$E94,0)</f>
        <v>0</v>
      </c>
      <c r="T94" s="21">
        <f>IF(Технологии!BA24="ИЗУЧЕНО",$E94,0)</f>
        <v>0</v>
      </c>
      <c r="U94" s="21">
        <f>IF(Технологии!BB24="ИЗУЧЕНО",$E94,0)</f>
        <v>0</v>
      </c>
      <c r="V94" s="21">
        <f>IF(Технологии!BC24="ИЗУЧЕНО",$E94,0)</f>
        <v>0</v>
      </c>
      <c r="W94" s="21">
        <f>IF(Технологии!BD24="ИЗУЧЕНО",$E94,0)</f>
        <v>0</v>
      </c>
      <c r="X94" s="21">
        <f>IF(Технологии!BE24="ИЗУЧЕНО",$E94,0)</f>
        <v>0</v>
      </c>
      <c r="Y94" s="21">
        <f>IF(Технологии!BF24="ИЗУЧЕНО",$E94,0)</f>
        <v>0</v>
      </c>
    </row>
    <row r="95" spans="1:25">
      <c r="A95" s="19" t="s">
        <v>126</v>
      </c>
      <c r="B95" s="18" t="s">
        <v>127</v>
      </c>
      <c r="C95" s="18" t="s">
        <v>311</v>
      </c>
      <c r="D95" s="18" t="s">
        <v>387</v>
      </c>
      <c r="E95" s="20">
        <v>-0.1</v>
      </c>
      <c r="F95" s="18" t="str">
        <f>IF(Технологии!BH24="","",Технологии!BH24)</f>
        <v/>
      </c>
      <c r="G95" s="18" t="s">
        <v>446</v>
      </c>
      <c r="J95" s="21">
        <f>0</f>
        <v>0</v>
      </c>
      <c r="K95" s="21">
        <f>IF(Технологии!AR24="ИЗУЧЕНО",$E95,0)</f>
        <v>0</v>
      </c>
      <c r="L95" s="21">
        <f>IF(Технологии!AS24="ИЗУЧЕНО",$E95,0)</f>
        <v>0</v>
      </c>
      <c r="M95" s="21">
        <f>IF(Технологии!AT24="ИЗУЧЕНО",$E95,0)</f>
        <v>0</v>
      </c>
      <c r="N95" s="21">
        <f>IF(Технологии!AU24="ИЗУЧЕНО",$E95,0)</f>
        <v>0</v>
      </c>
      <c r="O95" s="21">
        <f>IF(Технологии!AV24="ИЗУЧЕНО",$E95,0)</f>
        <v>0</v>
      </c>
      <c r="P95" s="21">
        <f>IF(Технологии!AW24="ИЗУЧЕНО",$E95,0)</f>
        <v>0</v>
      </c>
      <c r="Q95" s="21">
        <f>IF(Технологии!AX24="ИЗУЧЕНО",$E95,0)</f>
        <v>0</v>
      </c>
      <c r="R95" s="21">
        <f>IF(Технологии!AY24="ИЗУЧЕНО",$E95,0)</f>
        <v>0</v>
      </c>
      <c r="S95" s="21">
        <f>IF(Технологии!AZ24="ИЗУЧЕНО",$E95,0)</f>
        <v>0</v>
      </c>
      <c r="T95" s="21">
        <f>IF(Технологии!BA24="ИЗУЧЕНО",$E95,0)</f>
        <v>0</v>
      </c>
      <c r="U95" s="21">
        <f>IF(Технологии!BB24="ИЗУЧЕНО",$E95,0)</f>
        <v>0</v>
      </c>
      <c r="V95" s="21">
        <f>IF(Технологии!BC24="ИЗУЧЕНО",$E95,0)</f>
        <v>0</v>
      </c>
      <c r="W95" s="21">
        <f>IF(Технологии!BD24="ИЗУЧЕНО",$E95,0)</f>
        <v>0</v>
      </c>
      <c r="X95" s="21">
        <f>IF(Технологии!BE24="ИЗУЧЕНО",$E95,0)</f>
        <v>0</v>
      </c>
      <c r="Y95" s="21">
        <f>IF(Технологии!BF24="ИЗУЧЕНО",$E95,0)</f>
        <v>0</v>
      </c>
    </row>
    <row r="96" spans="1:25">
      <c r="A96" s="19" t="s">
        <v>130</v>
      </c>
      <c r="B96" s="18" t="s">
        <v>131</v>
      </c>
      <c r="C96" s="18" t="s">
        <v>290</v>
      </c>
      <c r="D96" s="18" t="s">
        <v>387</v>
      </c>
      <c r="E96" s="20">
        <v>0.3</v>
      </c>
      <c r="F96" s="18" t="str">
        <f>IF(Технологии!BH25="","",Технологии!BH25)</f>
        <v/>
      </c>
      <c r="G96" s="18" t="s">
        <v>447</v>
      </c>
      <c r="J96" s="21">
        <f>0</f>
        <v>0</v>
      </c>
      <c r="K96" s="21">
        <f>IF(Технологии!AR25="ИЗУЧЕНО",$E96,0)</f>
        <v>0</v>
      </c>
      <c r="L96" s="21">
        <f>IF(Технологии!AS25="ИЗУЧЕНО",$E96,0)</f>
        <v>0</v>
      </c>
      <c r="M96" s="21">
        <f>IF(Технологии!AT25="ИЗУЧЕНО",$E96,0)</f>
        <v>0</v>
      </c>
      <c r="N96" s="21">
        <f>IF(Технологии!AU25="ИЗУЧЕНО",$E96,0)</f>
        <v>0</v>
      </c>
      <c r="O96" s="21">
        <f>IF(Технологии!AV25="ИЗУЧЕНО",$E96,0)</f>
        <v>0</v>
      </c>
      <c r="P96" s="21">
        <f>IF(Технологии!AW25="ИЗУЧЕНО",$E96,0)</f>
        <v>0</v>
      </c>
      <c r="Q96" s="21">
        <f>IF(Технологии!AX25="ИЗУЧЕНО",$E96,0)</f>
        <v>0</v>
      </c>
      <c r="R96" s="21">
        <f>IF(Технологии!AY25="ИЗУЧЕНО",$E96,0)</f>
        <v>0</v>
      </c>
      <c r="S96" s="21">
        <f>IF(Технологии!AZ25="ИЗУЧЕНО",$E96,0)</f>
        <v>0</v>
      </c>
      <c r="T96" s="21">
        <f>IF(Технологии!BA25="ИЗУЧЕНО",$E96,0)</f>
        <v>0</v>
      </c>
      <c r="U96" s="21">
        <f>IF(Технологии!BB25="ИЗУЧЕНО",$E96,0)</f>
        <v>0</v>
      </c>
      <c r="V96" s="21">
        <f>IF(Технологии!BC25="ИЗУЧЕНО",$E96,0)</f>
        <v>0</v>
      </c>
      <c r="W96" s="21">
        <f>IF(Технологии!BD25="ИЗУЧЕНО",$E96,0)</f>
        <v>0</v>
      </c>
      <c r="X96" s="21">
        <f>IF(Технологии!BE25="ИЗУЧЕНО",$E96,0)</f>
        <v>0</v>
      </c>
      <c r="Y96" s="21">
        <f>IF(Технологии!BF25="ИЗУЧЕНО",$E96,0)</f>
        <v>0</v>
      </c>
    </row>
    <row r="97" spans="1:25">
      <c r="A97" s="19" t="s">
        <v>130</v>
      </c>
      <c r="B97" s="18" t="s">
        <v>131</v>
      </c>
      <c r="C97" s="18" t="s">
        <v>271</v>
      </c>
      <c r="D97" s="18" t="s">
        <v>414</v>
      </c>
      <c r="E97" s="20">
        <v>0.05</v>
      </c>
      <c r="F97" s="18" t="str">
        <f>IF(Технологии!BH25="","",Технологии!BH25)</f>
        <v/>
      </c>
      <c r="G97" s="18" t="s">
        <v>448</v>
      </c>
      <c r="J97" s="21">
        <f>0</f>
        <v>0</v>
      </c>
      <c r="K97" s="21">
        <f>IF(Технологии!AR25="ИЗУЧЕНО",$E97,0)</f>
        <v>0</v>
      </c>
      <c r="L97" s="21">
        <f>IF(Технологии!AS25="ИЗУЧЕНО",$E97,0)</f>
        <v>0</v>
      </c>
      <c r="M97" s="21">
        <f>IF(Технологии!AT25="ИЗУЧЕНО",$E97,0)</f>
        <v>0</v>
      </c>
      <c r="N97" s="21">
        <f>IF(Технологии!AU25="ИЗУЧЕНО",$E97,0)</f>
        <v>0</v>
      </c>
      <c r="O97" s="21">
        <f>IF(Технологии!AV25="ИЗУЧЕНО",$E97,0)</f>
        <v>0</v>
      </c>
      <c r="P97" s="21">
        <f>IF(Технологии!AW25="ИЗУЧЕНО",$E97,0)</f>
        <v>0</v>
      </c>
      <c r="Q97" s="21">
        <f>IF(Технологии!AX25="ИЗУЧЕНО",$E97,0)</f>
        <v>0</v>
      </c>
      <c r="R97" s="21">
        <f>IF(Технологии!AY25="ИЗУЧЕНО",$E97,0)</f>
        <v>0</v>
      </c>
      <c r="S97" s="21">
        <f>IF(Технологии!AZ25="ИЗУЧЕНО",$E97,0)</f>
        <v>0</v>
      </c>
      <c r="T97" s="21">
        <f>IF(Технологии!BA25="ИЗУЧЕНО",$E97,0)</f>
        <v>0</v>
      </c>
      <c r="U97" s="21">
        <f>IF(Технологии!BB25="ИЗУЧЕНО",$E97,0)</f>
        <v>0</v>
      </c>
      <c r="V97" s="21">
        <f>IF(Технологии!BC25="ИЗУЧЕНО",$E97,0)</f>
        <v>0</v>
      </c>
      <c r="W97" s="21">
        <f>IF(Технологии!BD25="ИЗУЧЕНО",$E97,0)</f>
        <v>0</v>
      </c>
      <c r="X97" s="21">
        <f>IF(Технологии!BE25="ИЗУЧЕНО",$E97,0)</f>
        <v>0</v>
      </c>
      <c r="Y97" s="21">
        <f>IF(Технологии!BF25="ИЗУЧЕНО",$E97,0)</f>
        <v>0</v>
      </c>
    </row>
    <row r="98" spans="1:25">
      <c r="A98" s="19" t="s">
        <v>130</v>
      </c>
      <c r="B98" s="18" t="s">
        <v>131</v>
      </c>
      <c r="C98" s="18" t="s">
        <v>293</v>
      </c>
      <c r="D98" s="18" t="s">
        <v>387</v>
      </c>
      <c r="E98" s="20">
        <v>0.2</v>
      </c>
      <c r="F98" s="18" t="str">
        <f>IF(Технологии!BH25="","",Технологии!BH25)</f>
        <v/>
      </c>
      <c r="G98" s="18" t="s">
        <v>449</v>
      </c>
      <c r="J98" s="21">
        <f>0</f>
        <v>0</v>
      </c>
      <c r="K98" s="21">
        <f>IF(Технологии!AR25="ИЗУЧЕНО",$E98,0)</f>
        <v>0</v>
      </c>
      <c r="L98" s="21">
        <f>IF(Технологии!AS25="ИЗУЧЕНО",$E98,0)</f>
        <v>0</v>
      </c>
      <c r="M98" s="21">
        <f>IF(Технологии!AT25="ИЗУЧЕНО",$E98,0)</f>
        <v>0</v>
      </c>
      <c r="N98" s="21">
        <f>IF(Технологии!AU25="ИЗУЧЕНО",$E98,0)</f>
        <v>0</v>
      </c>
      <c r="O98" s="21">
        <f>IF(Технологии!AV25="ИЗУЧЕНО",$E98,0)</f>
        <v>0</v>
      </c>
      <c r="P98" s="21">
        <f>IF(Технологии!AW25="ИЗУЧЕНО",$E98,0)</f>
        <v>0</v>
      </c>
      <c r="Q98" s="21">
        <f>IF(Технологии!AX25="ИЗУЧЕНО",$E98,0)</f>
        <v>0</v>
      </c>
      <c r="R98" s="21">
        <f>IF(Технологии!AY25="ИЗУЧЕНО",$E98,0)</f>
        <v>0</v>
      </c>
      <c r="S98" s="21">
        <f>IF(Технологии!AZ25="ИЗУЧЕНО",$E98,0)</f>
        <v>0</v>
      </c>
      <c r="T98" s="21">
        <f>IF(Технологии!BA25="ИЗУЧЕНО",$E98,0)</f>
        <v>0</v>
      </c>
      <c r="U98" s="21">
        <f>IF(Технологии!BB25="ИЗУЧЕНО",$E98,0)</f>
        <v>0</v>
      </c>
      <c r="V98" s="21">
        <f>IF(Технологии!BC25="ИЗУЧЕНО",$E98,0)</f>
        <v>0</v>
      </c>
      <c r="W98" s="21">
        <f>IF(Технологии!BD25="ИЗУЧЕНО",$E98,0)</f>
        <v>0</v>
      </c>
      <c r="X98" s="21">
        <f>IF(Технологии!BE25="ИЗУЧЕНО",$E98,0)</f>
        <v>0</v>
      </c>
      <c r="Y98" s="21">
        <f>IF(Технологии!BF25="ИЗУЧЕНО",$E98,0)</f>
        <v>0</v>
      </c>
    </row>
    <row r="99" spans="1:25">
      <c r="A99" s="19" t="s">
        <v>130</v>
      </c>
      <c r="B99" s="18" t="s">
        <v>131</v>
      </c>
      <c r="C99" s="18" t="s">
        <v>303</v>
      </c>
      <c r="D99" s="18" t="s">
        <v>387</v>
      </c>
      <c r="E99" s="20">
        <v>-0.15</v>
      </c>
      <c r="F99" s="18" t="str">
        <f>IF(Технологии!BH25="","",Технологии!BH25)</f>
        <v/>
      </c>
      <c r="G99" s="18" t="s">
        <v>450</v>
      </c>
      <c r="J99" s="21">
        <f>0</f>
        <v>0</v>
      </c>
      <c r="K99" s="21">
        <f>IF(Технологии!AR25="ИЗУЧЕНО",$E99,0)</f>
        <v>0</v>
      </c>
      <c r="L99" s="21">
        <f>IF(Технологии!AS25="ИЗУЧЕНО",$E99,0)</f>
        <v>0</v>
      </c>
      <c r="M99" s="21">
        <f>IF(Технологии!AT25="ИЗУЧЕНО",$E99,0)</f>
        <v>0</v>
      </c>
      <c r="N99" s="21">
        <f>IF(Технологии!AU25="ИЗУЧЕНО",$E99,0)</f>
        <v>0</v>
      </c>
      <c r="O99" s="21">
        <f>IF(Технологии!AV25="ИЗУЧЕНО",$E99,0)</f>
        <v>0</v>
      </c>
      <c r="P99" s="21">
        <f>IF(Технологии!AW25="ИЗУЧЕНО",$E99,0)</f>
        <v>0</v>
      </c>
      <c r="Q99" s="21">
        <f>IF(Технологии!AX25="ИЗУЧЕНО",$E99,0)</f>
        <v>0</v>
      </c>
      <c r="R99" s="21">
        <f>IF(Технологии!AY25="ИЗУЧЕНО",$E99,0)</f>
        <v>0</v>
      </c>
      <c r="S99" s="21">
        <f>IF(Технологии!AZ25="ИЗУЧЕНО",$E99,0)</f>
        <v>0</v>
      </c>
      <c r="T99" s="21">
        <f>IF(Технологии!BA25="ИЗУЧЕНО",$E99,0)</f>
        <v>0</v>
      </c>
      <c r="U99" s="21">
        <f>IF(Технологии!BB25="ИЗУЧЕНО",$E99,0)</f>
        <v>0</v>
      </c>
      <c r="V99" s="21">
        <f>IF(Технологии!BC25="ИЗУЧЕНО",$E99,0)</f>
        <v>0</v>
      </c>
      <c r="W99" s="21">
        <f>IF(Технологии!BD25="ИЗУЧЕНО",$E99,0)</f>
        <v>0</v>
      </c>
      <c r="X99" s="21">
        <f>IF(Технологии!BE25="ИЗУЧЕНО",$E99,0)</f>
        <v>0</v>
      </c>
      <c r="Y99" s="21">
        <f>IF(Технологии!BF25="ИЗУЧЕНО",$E99,0)</f>
        <v>0</v>
      </c>
    </row>
    <row r="100" spans="1:25">
      <c r="A100" s="19" t="s">
        <v>134</v>
      </c>
      <c r="B100" s="18" t="s">
        <v>135</v>
      </c>
      <c r="C100" s="18" t="s">
        <v>293</v>
      </c>
      <c r="D100" s="18" t="s">
        <v>387</v>
      </c>
      <c r="E100" s="20">
        <v>0.3</v>
      </c>
      <c r="F100" s="18" t="str">
        <f>IF(Технологии!BH26="","",Технологии!BH26)</f>
        <v/>
      </c>
      <c r="G100" s="18" t="s">
        <v>451</v>
      </c>
      <c r="J100" s="21">
        <f>0</f>
        <v>0</v>
      </c>
      <c r="K100" s="21">
        <f>IF(Технологии!AR26="ИЗУЧЕНО",$E100,0)</f>
        <v>0</v>
      </c>
      <c r="L100" s="21">
        <f>IF(Технологии!AS26="ИЗУЧЕНО",$E100,0)</f>
        <v>0</v>
      </c>
      <c r="M100" s="21">
        <f>IF(Технологии!AT26="ИЗУЧЕНО",$E100,0)</f>
        <v>0</v>
      </c>
      <c r="N100" s="21">
        <f>IF(Технологии!AU26="ИЗУЧЕНО",$E100,0)</f>
        <v>0</v>
      </c>
      <c r="O100" s="21">
        <f>IF(Технологии!AV26="ИЗУЧЕНО",$E100,0)</f>
        <v>0</v>
      </c>
      <c r="P100" s="21">
        <f>IF(Технологии!AW26="ИЗУЧЕНО",$E100,0)</f>
        <v>0</v>
      </c>
      <c r="Q100" s="21">
        <f>IF(Технологии!AX26="ИЗУЧЕНО",$E100,0)</f>
        <v>0</v>
      </c>
      <c r="R100" s="21">
        <f>IF(Технологии!AY26="ИЗУЧЕНО",$E100,0)</f>
        <v>0</v>
      </c>
      <c r="S100" s="21">
        <f>IF(Технологии!AZ26="ИЗУЧЕНО",$E100,0)</f>
        <v>0</v>
      </c>
      <c r="T100" s="21">
        <f>IF(Технологии!BA26="ИЗУЧЕНО",$E100,0)</f>
        <v>0</v>
      </c>
      <c r="U100" s="21">
        <f>IF(Технологии!BB26="ИЗУЧЕНО",$E100,0)</f>
        <v>0</v>
      </c>
      <c r="V100" s="21">
        <f>IF(Технологии!BC26="ИЗУЧЕНО",$E100,0)</f>
        <v>0</v>
      </c>
      <c r="W100" s="21">
        <f>IF(Технологии!BD26="ИЗУЧЕНО",$E100,0)</f>
        <v>0</v>
      </c>
      <c r="X100" s="21">
        <f>IF(Технологии!BE26="ИЗУЧЕНО",$E100,0)</f>
        <v>0</v>
      </c>
      <c r="Y100" s="21">
        <f>IF(Технологии!BF26="ИЗУЧЕНО",$E100,0)</f>
        <v>0</v>
      </c>
    </row>
    <row r="101" spans="1:25">
      <c r="A101" s="19" t="s">
        <v>134</v>
      </c>
      <c r="B101" s="18" t="s">
        <v>135</v>
      </c>
      <c r="C101" s="18" t="s">
        <v>294</v>
      </c>
      <c r="D101" s="18" t="s">
        <v>387</v>
      </c>
      <c r="E101" s="20">
        <v>0.2</v>
      </c>
      <c r="F101" s="18" t="str">
        <f>IF(Технологии!BH26="","",Технологии!BH26)</f>
        <v/>
      </c>
      <c r="G101" s="18" t="s">
        <v>452</v>
      </c>
      <c r="J101" s="21">
        <f>0</f>
        <v>0</v>
      </c>
      <c r="K101" s="21">
        <f>IF(Технологии!AR26="ИЗУЧЕНО",$E101,0)</f>
        <v>0</v>
      </c>
      <c r="L101" s="21">
        <f>IF(Технологии!AS26="ИЗУЧЕНО",$E101,0)</f>
        <v>0</v>
      </c>
      <c r="M101" s="21">
        <f>IF(Технологии!AT26="ИЗУЧЕНО",$E101,0)</f>
        <v>0</v>
      </c>
      <c r="N101" s="21">
        <f>IF(Технологии!AU26="ИЗУЧЕНО",$E101,0)</f>
        <v>0</v>
      </c>
      <c r="O101" s="21">
        <f>IF(Технологии!AV26="ИЗУЧЕНО",$E101,0)</f>
        <v>0</v>
      </c>
      <c r="P101" s="21">
        <f>IF(Технологии!AW26="ИЗУЧЕНО",$E101,0)</f>
        <v>0</v>
      </c>
      <c r="Q101" s="21">
        <f>IF(Технологии!AX26="ИЗУЧЕНО",$E101,0)</f>
        <v>0</v>
      </c>
      <c r="R101" s="21">
        <f>IF(Технологии!AY26="ИЗУЧЕНО",$E101,0)</f>
        <v>0</v>
      </c>
      <c r="S101" s="21">
        <f>IF(Технологии!AZ26="ИЗУЧЕНО",$E101,0)</f>
        <v>0</v>
      </c>
      <c r="T101" s="21">
        <f>IF(Технологии!BA26="ИЗУЧЕНО",$E101,0)</f>
        <v>0</v>
      </c>
      <c r="U101" s="21">
        <f>IF(Технологии!BB26="ИЗУЧЕНО",$E101,0)</f>
        <v>0</v>
      </c>
      <c r="V101" s="21">
        <f>IF(Технологии!BC26="ИЗУЧЕНО",$E101,0)</f>
        <v>0</v>
      </c>
      <c r="W101" s="21">
        <f>IF(Технологии!BD26="ИЗУЧЕНО",$E101,0)</f>
        <v>0</v>
      </c>
      <c r="X101" s="21">
        <f>IF(Технологии!BE26="ИЗУЧЕНО",$E101,0)</f>
        <v>0</v>
      </c>
      <c r="Y101" s="21">
        <f>IF(Технологии!BF26="ИЗУЧЕНО",$E101,0)</f>
        <v>0</v>
      </c>
    </row>
    <row r="102" spans="1:25">
      <c r="A102" s="19" t="s">
        <v>134</v>
      </c>
      <c r="B102" s="18" t="s">
        <v>135</v>
      </c>
      <c r="C102" s="18" t="s">
        <v>279</v>
      </c>
      <c r="D102" s="18" t="s">
        <v>414</v>
      </c>
      <c r="E102" s="20">
        <v>0.05</v>
      </c>
      <c r="F102" s="18" t="str">
        <f>IF(Технологии!BH26="","",Технологии!BH26)</f>
        <v/>
      </c>
      <c r="G102" s="18" t="s">
        <v>453</v>
      </c>
      <c r="J102" s="21">
        <f>0</f>
        <v>0</v>
      </c>
      <c r="K102" s="21">
        <f>IF(Технологии!AR26="ИЗУЧЕНО",$E102,0)</f>
        <v>0</v>
      </c>
      <c r="L102" s="21">
        <f>IF(Технологии!AS26="ИЗУЧЕНО",$E102,0)</f>
        <v>0</v>
      </c>
      <c r="M102" s="21">
        <f>IF(Технологии!AT26="ИЗУЧЕНО",$E102,0)</f>
        <v>0</v>
      </c>
      <c r="N102" s="21">
        <f>IF(Технологии!AU26="ИЗУЧЕНО",$E102,0)</f>
        <v>0</v>
      </c>
      <c r="O102" s="21">
        <f>IF(Технологии!AV26="ИЗУЧЕНО",$E102,0)</f>
        <v>0</v>
      </c>
      <c r="P102" s="21">
        <f>IF(Технологии!AW26="ИЗУЧЕНО",$E102,0)</f>
        <v>0</v>
      </c>
      <c r="Q102" s="21">
        <f>IF(Технологии!AX26="ИЗУЧЕНО",$E102,0)</f>
        <v>0</v>
      </c>
      <c r="R102" s="21">
        <f>IF(Технологии!AY26="ИЗУЧЕНО",$E102,0)</f>
        <v>0</v>
      </c>
      <c r="S102" s="21">
        <f>IF(Технологии!AZ26="ИЗУЧЕНО",$E102,0)</f>
        <v>0</v>
      </c>
      <c r="T102" s="21">
        <f>IF(Технологии!BA26="ИЗУЧЕНО",$E102,0)</f>
        <v>0</v>
      </c>
      <c r="U102" s="21">
        <f>IF(Технологии!BB26="ИЗУЧЕНО",$E102,0)</f>
        <v>0</v>
      </c>
      <c r="V102" s="21">
        <f>IF(Технологии!BC26="ИЗУЧЕНО",$E102,0)</f>
        <v>0</v>
      </c>
      <c r="W102" s="21">
        <f>IF(Технологии!BD26="ИЗУЧЕНО",$E102,0)</f>
        <v>0</v>
      </c>
      <c r="X102" s="21">
        <f>IF(Технологии!BE26="ИЗУЧЕНО",$E102,0)</f>
        <v>0</v>
      </c>
      <c r="Y102" s="21">
        <f>IF(Технологии!BF26="ИЗУЧЕНО",$E102,0)</f>
        <v>0</v>
      </c>
    </row>
    <row r="103" spans="1:25">
      <c r="A103" s="19" t="s">
        <v>134</v>
      </c>
      <c r="B103" s="18" t="s">
        <v>135</v>
      </c>
      <c r="C103" s="18" t="s">
        <v>292</v>
      </c>
      <c r="D103" s="18" t="s">
        <v>387</v>
      </c>
      <c r="E103" s="20">
        <v>0.2</v>
      </c>
      <c r="F103" s="18" t="str">
        <f>IF(Технологии!BH26="","",Технологии!BH26)</f>
        <v/>
      </c>
      <c r="G103" s="18" t="s">
        <v>427</v>
      </c>
      <c r="J103" s="21">
        <f>0</f>
        <v>0</v>
      </c>
      <c r="K103" s="21">
        <f>IF(Технологии!AR26="ИЗУЧЕНО",$E103,0)</f>
        <v>0</v>
      </c>
      <c r="L103" s="21">
        <f>IF(Технологии!AS26="ИЗУЧЕНО",$E103,0)</f>
        <v>0</v>
      </c>
      <c r="M103" s="21">
        <f>IF(Технологии!AT26="ИЗУЧЕНО",$E103,0)</f>
        <v>0</v>
      </c>
      <c r="N103" s="21">
        <f>IF(Технологии!AU26="ИЗУЧЕНО",$E103,0)</f>
        <v>0</v>
      </c>
      <c r="O103" s="21">
        <f>IF(Технологии!AV26="ИЗУЧЕНО",$E103,0)</f>
        <v>0</v>
      </c>
      <c r="P103" s="21">
        <f>IF(Технологии!AW26="ИЗУЧЕНО",$E103,0)</f>
        <v>0</v>
      </c>
      <c r="Q103" s="21">
        <f>IF(Технологии!AX26="ИЗУЧЕНО",$E103,0)</f>
        <v>0</v>
      </c>
      <c r="R103" s="21">
        <f>IF(Технологии!AY26="ИЗУЧЕНО",$E103,0)</f>
        <v>0</v>
      </c>
      <c r="S103" s="21">
        <f>IF(Технологии!AZ26="ИЗУЧЕНО",$E103,0)</f>
        <v>0</v>
      </c>
      <c r="T103" s="21">
        <f>IF(Технологии!BA26="ИЗУЧЕНО",$E103,0)</f>
        <v>0</v>
      </c>
      <c r="U103" s="21">
        <f>IF(Технологии!BB26="ИЗУЧЕНО",$E103,0)</f>
        <v>0</v>
      </c>
      <c r="V103" s="21">
        <f>IF(Технологии!BC26="ИЗУЧЕНО",$E103,0)</f>
        <v>0</v>
      </c>
      <c r="W103" s="21">
        <f>IF(Технологии!BD26="ИЗУЧЕНО",$E103,0)</f>
        <v>0</v>
      </c>
      <c r="X103" s="21">
        <f>IF(Технологии!BE26="ИЗУЧЕНО",$E103,0)</f>
        <v>0</v>
      </c>
      <c r="Y103" s="21">
        <f>IF(Технологии!BF26="ИЗУЧЕНО",$E103,0)</f>
        <v>0</v>
      </c>
    </row>
    <row r="104" spans="1:25">
      <c r="A104" s="19" t="s">
        <v>134</v>
      </c>
      <c r="B104" s="18" t="s">
        <v>135</v>
      </c>
      <c r="C104" s="18" t="s">
        <v>260</v>
      </c>
      <c r="D104" s="18" t="s">
        <v>387</v>
      </c>
      <c r="E104" s="20">
        <v>-0.2</v>
      </c>
      <c r="F104" s="18" t="str">
        <f>IF(Технологии!BH26="","",Технологии!BH26)</f>
        <v/>
      </c>
      <c r="G104" s="18" t="s">
        <v>454</v>
      </c>
      <c r="J104" s="21">
        <f>0</f>
        <v>0</v>
      </c>
      <c r="K104" s="21">
        <f>IF(Технологии!AR26="ИЗУЧЕНО",$E104,0)</f>
        <v>0</v>
      </c>
      <c r="L104" s="21">
        <f>IF(Технологии!AS26="ИЗУЧЕНО",$E104,0)</f>
        <v>0</v>
      </c>
      <c r="M104" s="21">
        <f>IF(Технологии!AT26="ИЗУЧЕНО",$E104,0)</f>
        <v>0</v>
      </c>
      <c r="N104" s="21">
        <f>IF(Технологии!AU26="ИЗУЧЕНО",$E104,0)</f>
        <v>0</v>
      </c>
      <c r="O104" s="21">
        <f>IF(Технологии!AV26="ИЗУЧЕНО",$E104,0)</f>
        <v>0</v>
      </c>
      <c r="P104" s="21">
        <f>IF(Технологии!AW26="ИЗУЧЕНО",$E104,0)</f>
        <v>0</v>
      </c>
      <c r="Q104" s="21">
        <f>IF(Технологии!AX26="ИЗУЧЕНО",$E104,0)</f>
        <v>0</v>
      </c>
      <c r="R104" s="21">
        <f>IF(Технологии!AY26="ИЗУЧЕНО",$E104,0)</f>
        <v>0</v>
      </c>
      <c r="S104" s="21">
        <f>IF(Технологии!AZ26="ИЗУЧЕНО",$E104,0)</f>
        <v>0</v>
      </c>
      <c r="T104" s="21">
        <f>IF(Технологии!BA26="ИЗУЧЕНО",$E104,0)</f>
        <v>0</v>
      </c>
      <c r="U104" s="21">
        <f>IF(Технологии!BB26="ИЗУЧЕНО",$E104,0)</f>
        <v>0</v>
      </c>
      <c r="V104" s="21">
        <f>IF(Технологии!BC26="ИЗУЧЕНО",$E104,0)</f>
        <v>0</v>
      </c>
      <c r="W104" s="21">
        <f>IF(Технологии!BD26="ИЗУЧЕНО",$E104,0)</f>
        <v>0</v>
      </c>
      <c r="X104" s="21">
        <f>IF(Технологии!BE26="ИЗУЧЕНО",$E104,0)</f>
        <v>0</v>
      </c>
      <c r="Y104" s="21">
        <f>IF(Технологии!BF26="ИЗУЧЕНО",$E104,0)</f>
        <v>0</v>
      </c>
    </row>
    <row r="105" spans="1:25">
      <c r="A105" s="19" t="s">
        <v>134</v>
      </c>
      <c r="B105" s="18" t="s">
        <v>135</v>
      </c>
      <c r="C105" s="18" t="s">
        <v>295</v>
      </c>
      <c r="D105" s="18" t="s">
        <v>387</v>
      </c>
      <c r="E105" s="20">
        <v>-0.15</v>
      </c>
      <c r="F105" s="18" t="str">
        <f>IF(Технологии!BH26="","",Технологии!BH26)</f>
        <v/>
      </c>
      <c r="G105" s="18" t="s">
        <v>430</v>
      </c>
      <c r="J105" s="21">
        <f>0</f>
        <v>0</v>
      </c>
      <c r="K105" s="21">
        <f>IF(Технологии!AR26="ИЗУЧЕНО",$E105,0)</f>
        <v>0</v>
      </c>
      <c r="L105" s="21">
        <f>IF(Технологии!AS26="ИЗУЧЕНО",$E105,0)</f>
        <v>0</v>
      </c>
      <c r="M105" s="21">
        <f>IF(Технологии!AT26="ИЗУЧЕНО",$E105,0)</f>
        <v>0</v>
      </c>
      <c r="N105" s="21">
        <f>IF(Технологии!AU26="ИЗУЧЕНО",$E105,0)</f>
        <v>0</v>
      </c>
      <c r="O105" s="21">
        <f>IF(Технологии!AV26="ИЗУЧЕНО",$E105,0)</f>
        <v>0</v>
      </c>
      <c r="P105" s="21">
        <f>IF(Технологии!AW26="ИЗУЧЕНО",$E105,0)</f>
        <v>0</v>
      </c>
      <c r="Q105" s="21">
        <f>IF(Технологии!AX26="ИЗУЧЕНО",$E105,0)</f>
        <v>0</v>
      </c>
      <c r="R105" s="21">
        <f>IF(Технологии!AY26="ИЗУЧЕНО",$E105,0)</f>
        <v>0</v>
      </c>
      <c r="S105" s="21">
        <f>IF(Технологии!AZ26="ИЗУЧЕНО",$E105,0)</f>
        <v>0</v>
      </c>
      <c r="T105" s="21">
        <f>IF(Технологии!BA26="ИЗУЧЕНО",$E105,0)</f>
        <v>0</v>
      </c>
      <c r="U105" s="21">
        <f>IF(Технологии!BB26="ИЗУЧЕНО",$E105,0)</f>
        <v>0</v>
      </c>
      <c r="V105" s="21">
        <f>IF(Технологии!BC26="ИЗУЧЕНО",$E105,0)</f>
        <v>0</v>
      </c>
      <c r="W105" s="21">
        <f>IF(Технологии!BD26="ИЗУЧЕНО",$E105,0)</f>
        <v>0</v>
      </c>
      <c r="X105" s="21">
        <f>IF(Технологии!BE26="ИЗУЧЕНО",$E105,0)</f>
        <v>0</v>
      </c>
      <c r="Y105" s="21">
        <f>IF(Технологии!BF26="ИЗУЧЕНО",$E105,0)</f>
        <v>0</v>
      </c>
    </row>
    <row r="106" spans="1:25">
      <c r="A106" s="19" t="s">
        <v>138</v>
      </c>
      <c r="B106" s="18" t="s">
        <v>139</v>
      </c>
      <c r="C106" s="18" t="s">
        <v>290</v>
      </c>
      <c r="D106" s="18" t="s">
        <v>387</v>
      </c>
      <c r="E106" s="20">
        <v>0.5</v>
      </c>
      <c r="F106" s="18" t="str">
        <f>IF(Технологии!BH27="","",Технологии!BH27)</f>
        <v/>
      </c>
      <c r="G106" s="18" t="s">
        <v>455</v>
      </c>
      <c r="J106" s="21">
        <f>0</f>
        <v>0</v>
      </c>
      <c r="K106" s="21">
        <f>IF(Технологии!AR27="ИЗУЧЕНО",$E106,0)</f>
        <v>0</v>
      </c>
      <c r="L106" s="21">
        <f>IF(Технологии!AS27="ИЗУЧЕНО",$E106,0)</f>
        <v>0</v>
      </c>
      <c r="M106" s="21">
        <f>IF(Технологии!AT27="ИЗУЧЕНО",$E106,0)</f>
        <v>0</v>
      </c>
      <c r="N106" s="21">
        <f>IF(Технологии!AU27="ИЗУЧЕНО",$E106,0)</f>
        <v>0</v>
      </c>
      <c r="O106" s="21">
        <f>IF(Технологии!AV27="ИЗУЧЕНО",$E106,0)</f>
        <v>0</v>
      </c>
      <c r="P106" s="21">
        <f>IF(Технологии!AW27="ИЗУЧЕНО",$E106,0)</f>
        <v>0</v>
      </c>
      <c r="Q106" s="21">
        <f>IF(Технологии!AX27="ИЗУЧЕНО",$E106,0)</f>
        <v>0</v>
      </c>
      <c r="R106" s="21">
        <f>IF(Технологии!AY27="ИЗУЧЕНО",$E106,0)</f>
        <v>0</v>
      </c>
      <c r="S106" s="21">
        <f>IF(Технологии!AZ27="ИЗУЧЕНО",$E106,0)</f>
        <v>0</v>
      </c>
      <c r="T106" s="21">
        <f>IF(Технологии!BA27="ИЗУЧЕНО",$E106,0)</f>
        <v>0</v>
      </c>
      <c r="U106" s="21">
        <f>IF(Технологии!BB27="ИЗУЧЕНО",$E106,0)</f>
        <v>0</v>
      </c>
      <c r="V106" s="21">
        <f>IF(Технологии!BC27="ИЗУЧЕНО",$E106,0)</f>
        <v>0</v>
      </c>
      <c r="W106" s="21">
        <f>IF(Технологии!BD27="ИЗУЧЕНО",$E106,0)</f>
        <v>0</v>
      </c>
      <c r="X106" s="21">
        <f>IF(Технологии!BE27="ИЗУЧЕНО",$E106,0)</f>
        <v>0</v>
      </c>
      <c r="Y106" s="21">
        <f>IF(Технологии!BF27="ИЗУЧЕНО",$E106,0)</f>
        <v>0</v>
      </c>
    </row>
    <row r="107" spans="1:25">
      <c r="A107" s="19" t="s">
        <v>138</v>
      </c>
      <c r="B107" s="18" t="s">
        <v>139</v>
      </c>
      <c r="C107" s="18" t="s">
        <v>290</v>
      </c>
      <c r="D107" s="18" t="s">
        <v>414</v>
      </c>
      <c r="E107" s="20">
        <v>0.1</v>
      </c>
      <c r="F107" s="18" t="str">
        <f>IF(Технологии!BH27="","",Технологии!BH27)</f>
        <v/>
      </c>
      <c r="G107" s="18" t="s">
        <v>455</v>
      </c>
      <c r="J107" s="21">
        <f>0</f>
        <v>0</v>
      </c>
      <c r="K107" s="21">
        <f>IF(Технологии!AR27="ИЗУЧЕНО",$E107,0)</f>
        <v>0</v>
      </c>
      <c r="L107" s="21">
        <f>IF(Технологии!AS27="ИЗУЧЕНО",$E107,0)</f>
        <v>0</v>
      </c>
      <c r="M107" s="21">
        <f>IF(Технологии!AT27="ИЗУЧЕНО",$E107,0)</f>
        <v>0</v>
      </c>
      <c r="N107" s="21">
        <f>IF(Технологии!AU27="ИЗУЧЕНО",$E107,0)</f>
        <v>0</v>
      </c>
      <c r="O107" s="21">
        <f>IF(Технологии!AV27="ИЗУЧЕНО",$E107,0)</f>
        <v>0</v>
      </c>
      <c r="P107" s="21">
        <f>IF(Технологии!AW27="ИЗУЧЕНО",$E107,0)</f>
        <v>0</v>
      </c>
      <c r="Q107" s="21">
        <f>IF(Технологии!AX27="ИЗУЧЕНО",$E107,0)</f>
        <v>0</v>
      </c>
      <c r="R107" s="21">
        <f>IF(Технологии!AY27="ИЗУЧЕНО",$E107,0)</f>
        <v>0</v>
      </c>
      <c r="S107" s="21">
        <f>IF(Технологии!AZ27="ИЗУЧЕНО",$E107,0)</f>
        <v>0</v>
      </c>
      <c r="T107" s="21">
        <f>IF(Технологии!BA27="ИЗУЧЕНО",$E107,0)</f>
        <v>0</v>
      </c>
      <c r="U107" s="21">
        <f>IF(Технологии!BB27="ИЗУЧЕНО",$E107,0)</f>
        <v>0</v>
      </c>
      <c r="V107" s="21">
        <f>IF(Технологии!BC27="ИЗУЧЕНО",$E107,0)</f>
        <v>0</v>
      </c>
      <c r="W107" s="21">
        <f>IF(Технологии!BD27="ИЗУЧЕНО",$E107,0)</f>
        <v>0</v>
      </c>
      <c r="X107" s="21">
        <f>IF(Технологии!BE27="ИЗУЧЕНО",$E107,0)</f>
        <v>0</v>
      </c>
      <c r="Y107" s="21">
        <f>IF(Технологии!BF27="ИЗУЧЕНО",$E107,0)</f>
        <v>0</v>
      </c>
    </row>
    <row r="108" spans="1:25">
      <c r="A108" s="19" t="s">
        <v>138</v>
      </c>
      <c r="B108" s="18" t="s">
        <v>139</v>
      </c>
      <c r="C108" s="18" t="s">
        <v>300</v>
      </c>
      <c r="D108" s="18" t="s">
        <v>387</v>
      </c>
      <c r="E108" s="20">
        <v>0.3</v>
      </c>
      <c r="F108" s="18" t="str">
        <f>IF(Технологии!BH27="","",Технологии!BH27)</f>
        <v/>
      </c>
      <c r="G108" s="18" t="s">
        <v>456</v>
      </c>
      <c r="J108" s="21">
        <f>0</f>
        <v>0</v>
      </c>
      <c r="K108" s="21">
        <f>IF(Технологии!AR27="ИЗУЧЕНО",$E108,0)</f>
        <v>0</v>
      </c>
      <c r="L108" s="21">
        <f>IF(Технологии!AS27="ИЗУЧЕНО",$E108,0)</f>
        <v>0</v>
      </c>
      <c r="M108" s="21">
        <f>IF(Технологии!AT27="ИЗУЧЕНО",$E108,0)</f>
        <v>0</v>
      </c>
      <c r="N108" s="21">
        <f>IF(Технологии!AU27="ИЗУЧЕНО",$E108,0)</f>
        <v>0</v>
      </c>
      <c r="O108" s="21">
        <f>IF(Технологии!AV27="ИЗУЧЕНО",$E108,0)</f>
        <v>0</v>
      </c>
      <c r="P108" s="21">
        <f>IF(Технологии!AW27="ИЗУЧЕНО",$E108,0)</f>
        <v>0</v>
      </c>
      <c r="Q108" s="21">
        <f>IF(Технологии!AX27="ИЗУЧЕНО",$E108,0)</f>
        <v>0</v>
      </c>
      <c r="R108" s="21">
        <f>IF(Технологии!AY27="ИЗУЧЕНО",$E108,0)</f>
        <v>0</v>
      </c>
      <c r="S108" s="21">
        <f>IF(Технологии!AZ27="ИЗУЧЕНО",$E108,0)</f>
        <v>0</v>
      </c>
      <c r="T108" s="21">
        <f>IF(Технологии!BA27="ИЗУЧЕНО",$E108,0)</f>
        <v>0</v>
      </c>
      <c r="U108" s="21">
        <f>IF(Технологии!BB27="ИЗУЧЕНО",$E108,0)</f>
        <v>0</v>
      </c>
      <c r="V108" s="21">
        <f>IF(Технологии!BC27="ИЗУЧЕНО",$E108,0)</f>
        <v>0</v>
      </c>
      <c r="W108" s="21">
        <f>IF(Технологии!BD27="ИЗУЧЕНО",$E108,0)</f>
        <v>0</v>
      </c>
      <c r="X108" s="21">
        <f>IF(Технологии!BE27="ИЗУЧЕНО",$E108,0)</f>
        <v>0</v>
      </c>
      <c r="Y108" s="21">
        <f>IF(Технологии!BF27="ИЗУЧЕНО",$E108,0)</f>
        <v>0</v>
      </c>
    </row>
    <row r="109" spans="1:25">
      <c r="A109" s="19" t="s">
        <v>138</v>
      </c>
      <c r="B109" s="18" t="s">
        <v>139</v>
      </c>
      <c r="C109" s="18" t="s">
        <v>293</v>
      </c>
      <c r="D109" s="18" t="s">
        <v>387</v>
      </c>
      <c r="E109" s="20">
        <v>0.2</v>
      </c>
      <c r="F109" s="18" t="str">
        <f>IF(Технологии!BH27="","",Технологии!BH27)</f>
        <v/>
      </c>
      <c r="G109" s="18" t="s">
        <v>449</v>
      </c>
      <c r="J109" s="21">
        <f>0</f>
        <v>0</v>
      </c>
      <c r="K109" s="21">
        <f>IF(Технологии!AR27="ИЗУЧЕНО",$E109,0)</f>
        <v>0</v>
      </c>
      <c r="L109" s="21">
        <f>IF(Технологии!AS27="ИЗУЧЕНО",$E109,0)</f>
        <v>0</v>
      </c>
      <c r="M109" s="21">
        <f>IF(Технологии!AT27="ИЗУЧЕНО",$E109,0)</f>
        <v>0</v>
      </c>
      <c r="N109" s="21">
        <f>IF(Технологии!AU27="ИЗУЧЕНО",$E109,0)</f>
        <v>0</v>
      </c>
      <c r="O109" s="21">
        <f>IF(Технологии!AV27="ИЗУЧЕНО",$E109,0)</f>
        <v>0</v>
      </c>
      <c r="P109" s="21">
        <f>IF(Технологии!AW27="ИЗУЧЕНО",$E109,0)</f>
        <v>0</v>
      </c>
      <c r="Q109" s="21">
        <f>IF(Технологии!AX27="ИЗУЧЕНО",$E109,0)</f>
        <v>0</v>
      </c>
      <c r="R109" s="21">
        <f>IF(Технологии!AY27="ИЗУЧЕНО",$E109,0)</f>
        <v>0</v>
      </c>
      <c r="S109" s="21">
        <f>IF(Технологии!AZ27="ИЗУЧЕНО",$E109,0)</f>
        <v>0</v>
      </c>
      <c r="T109" s="21">
        <f>IF(Технологии!BA27="ИЗУЧЕНО",$E109,0)</f>
        <v>0</v>
      </c>
      <c r="U109" s="21">
        <f>IF(Технологии!BB27="ИЗУЧЕНО",$E109,0)</f>
        <v>0</v>
      </c>
      <c r="V109" s="21">
        <f>IF(Технологии!BC27="ИЗУЧЕНО",$E109,0)</f>
        <v>0</v>
      </c>
      <c r="W109" s="21">
        <f>IF(Технологии!BD27="ИЗУЧЕНО",$E109,0)</f>
        <v>0</v>
      </c>
      <c r="X109" s="21">
        <f>IF(Технологии!BE27="ИЗУЧЕНО",$E109,0)</f>
        <v>0</v>
      </c>
      <c r="Y109" s="21">
        <f>IF(Технологии!BF27="ИЗУЧЕНО",$E109,0)</f>
        <v>0</v>
      </c>
    </row>
    <row r="110" spans="1:25">
      <c r="A110" s="19" t="s">
        <v>138</v>
      </c>
      <c r="B110" s="18" t="s">
        <v>139</v>
      </c>
      <c r="C110" s="18" t="s">
        <v>279</v>
      </c>
      <c r="D110" s="18" t="s">
        <v>414</v>
      </c>
      <c r="E110" s="20">
        <v>0.08</v>
      </c>
      <c r="F110" s="18" t="str">
        <f>IF(Технологии!BH27="","",Технологии!BH27)</f>
        <v/>
      </c>
      <c r="G110" s="18" t="s">
        <v>432</v>
      </c>
      <c r="J110" s="21">
        <f>0</f>
        <v>0</v>
      </c>
      <c r="K110" s="21">
        <f>IF(Технологии!AR27="ИЗУЧЕНО",$E110,0)</f>
        <v>0</v>
      </c>
      <c r="L110" s="21">
        <f>IF(Технологии!AS27="ИЗУЧЕНО",$E110,0)</f>
        <v>0</v>
      </c>
      <c r="M110" s="21">
        <f>IF(Технологии!AT27="ИЗУЧЕНО",$E110,0)</f>
        <v>0</v>
      </c>
      <c r="N110" s="21">
        <f>IF(Технологии!AU27="ИЗУЧЕНО",$E110,0)</f>
        <v>0</v>
      </c>
      <c r="O110" s="21">
        <f>IF(Технологии!AV27="ИЗУЧЕНО",$E110,0)</f>
        <v>0</v>
      </c>
      <c r="P110" s="21">
        <f>IF(Технологии!AW27="ИЗУЧЕНО",$E110,0)</f>
        <v>0</v>
      </c>
      <c r="Q110" s="21">
        <f>IF(Технологии!AX27="ИЗУЧЕНО",$E110,0)</f>
        <v>0</v>
      </c>
      <c r="R110" s="21">
        <f>IF(Технологии!AY27="ИЗУЧЕНО",$E110,0)</f>
        <v>0</v>
      </c>
      <c r="S110" s="21">
        <f>IF(Технологии!AZ27="ИЗУЧЕНО",$E110,0)</f>
        <v>0</v>
      </c>
      <c r="T110" s="21">
        <f>IF(Технологии!BA27="ИЗУЧЕНО",$E110,0)</f>
        <v>0</v>
      </c>
      <c r="U110" s="21">
        <f>IF(Технологии!BB27="ИЗУЧЕНО",$E110,0)</f>
        <v>0</v>
      </c>
      <c r="V110" s="21">
        <f>IF(Технологии!BC27="ИЗУЧЕНО",$E110,0)</f>
        <v>0</v>
      </c>
      <c r="W110" s="21">
        <f>IF(Технологии!BD27="ИЗУЧЕНО",$E110,0)</f>
        <v>0</v>
      </c>
      <c r="X110" s="21">
        <f>IF(Технологии!BE27="ИЗУЧЕНО",$E110,0)</f>
        <v>0</v>
      </c>
      <c r="Y110" s="21">
        <f>IF(Технологии!BF27="ИЗУЧЕНО",$E110,0)</f>
        <v>0</v>
      </c>
    </row>
    <row r="111" spans="1:25">
      <c r="A111" s="19" t="s">
        <v>138</v>
      </c>
      <c r="B111" s="18" t="s">
        <v>139</v>
      </c>
      <c r="C111" s="18" t="s">
        <v>382</v>
      </c>
      <c r="D111" s="18" t="s">
        <v>405</v>
      </c>
      <c r="E111" s="20">
        <v>0.15</v>
      </c>
      <c r="F111" s="18" t="str">
        <f>IF(Технологии!BH27="","",Технологии!BH27)</f>
        <v/>
      </c>
      <c r="G111" s="18" t="s">
        <v>457</v>
      </c>
      <c r="J111" s="21">
        <f>0</f>
        <v>0</v>
      </c>
      <c r="K111" s="21">
        <f>IF(Технологии!AR27="ИЗУЧЕНО",$E111,0)</f>
        <v>0</v>
      </c>
      <c r="L111" s="21">
        <f>IF(Технологии!AS27="ИЗУЧЕНО",$E111,0)</f>
        <v>0</v>
      </c>
      <c r="M111" s="21">
        <f>IF(Технологии!AT27="ИЗУЧЕНО",$E111,0)</f>
        <v>0</v>
      </c>
      <c r="N111" s="21">
        <f>IF(Технологии!AU27="ИЗУЧЕНО",$E111,0)</f>
        <v>0</v>
      </c>
      <c r="O111" s="21">
        <f>IF(Технологии!AV27="ИЗУЧЕНО",$E111,0)</f>
        <v>0</v>
      </c>
      <c r="P111" s="21">
        <f>IF(Технологии!AW27="ИЗУЧЕНО",$E111,0)</f>
        <v>0</v>
      </c>
      <c r="Q111" s="21">
        <f>IF(Технологии!AX27="ИЗУЧЕНО",$E111,0)</f>
        <v>0</v>
      </c>
      <c r="R111" s="21">
        <f>IF(Технологии!AY27="ИЗУЧЕНО",$E111,0)</f>
        <v>0</v>
      </c>
      <c r="S111" s="21">
        <f>IF(Технологии!AZ27="ИЗУЧЕНО",$E111,0)</f>
        <v>0</v>
      </c>
      <c r="T111" s="21">
        <f>IF(Технологии!BA27="ИЗУЧЕНО",$E111,0)</f>
        <v>0</v>
      </c>
      <c r="U111" s="21">
        <f>IF(Технологии!BB27="ИЗУЧЕНО",$E111,0)</f>
        <v>0</v>
      </c>
      <c r="V111" s="21">
        <f>IF(Технологии!BC27="ИЗУЧЕНО",$E111,0)</f>
        <v>0</v>
      </c>
      <c r="W111" s="21">
        <f>IF(Технологии!BD27="ИЗУЧЕНО",$E111,0)</f>
        <v>0</v>
      </c>
      <c r="X111" s="21">
        <f>IF(Технологии!BE27="ИЗУЧЕНО",$E111,0)</f>
        <v>0</v>
      </c>
      <c r="Y111" s="21">
        <f>IF(Технологии!BF27="ИЗУЧЕНО",$E111,0)</f>
        <v>0</v>
      </c>
    </row>
    <row r="112" spans="1:25">
      <c r="A112" s="19" t="s">
        <v>138</v>
      </c>
      <c r="B112" s="18" t="s">
        <v>139</v>
      </c>
      <c r="C112" s="18" t="s">
        <v>303</v>
      </c>
      <c r="D112" s="18" t="s">
        <v>387</v>
      </c>
      <c r="E112" s="20">
        <v>-0.25</v>
      </c>
      <c r="F112" s="18" t="str">
        <f>IF(Технологии!BH27="","",Технологии!BH27)</f>
        <v/>
      </c>
      <c r="G112" s="18" t="s">
        <v>458</v>
      </c>
      <c r="J112" s="21">
        <f>0</f>
        <v>0</v>
      </c>
      <c r="K112" s="21">
        <f>IF(Технологии!AR27="ИЗУЧЕНО",$E112,0)</f>
        <v>0</v>
      </c>
      <c r="L112" s="21">
        <f>IF(Технологии!AS27="ИЗУЧЕНО",$E112,0)</f>
        <v>0</v>
      </c>
      <c r="M112" s="21">
        <f>IF(Технологии!AT27="ИЗУЧЕНО",$E112,0)</f>
        <v>0</v>
      </c>
      <c r="N112" s="21">
        <f>IF(Технологии!AU27="ИЗУЧЕНО",$E112,0)</f>
        <v>0</v>
      </c>
      <c r="O112" s="21">
        <f>IF(Технологии!AV27="ИЗУЧЕНО",$E112,0)</f>
        <v>0</v>
      </c>
      <c r="P112" s="21">
        <f>IF(Технологии!AW27="ИЗУЧЕНО",$E112,0)</f>
        <v>0</v>
      </c>
      <c r="Q112" s="21">
        <f>IF(Технологии!AX27="ИЗУЧЕНО",$E112,0)</f>
        <v>0</v>
      </c>
      <c r="R112" s="21">
        <f>IF(Технологии!AY27="ИЗУЧЕНО",$E112,0)</f>
        <v>0</v>
      </c>
      <c r="S112" s="21">
        <f>IF(Технологии!AZ27="ИЗУЧЕНО",$E112,0)</f>
        <v>0</v>
      </c>
      <c r="T112" s="21">
        <f>IF(Технологии!BA27="ИЗУЧЕНО",$E112,0)</f>
        <v>0</v>
      </c>
      <c r="U112" s="21">
        <f>IF(Технологии!BB27="ИЗУЧЕНО",$E112,0)</f>
        <v>0</v>
      </c>
      <c r="V112" s="21">
        <f>IF(Технологии!BC27="ИЗУЧЕНО",$E112,0)</f>
        <v>0</v>
      </c>
      <c r="W112" s="21">
        <f>IF(Технологии!BD27="ИЗУЧЕНО",$E112,0)</f>
        <v>0</v>
      </c>
      <c r="X112" s="21">
        <f>IF(Технологии!BE27="ИЗУЧЕНО",$E112,0)</f>
        <v>0</v>
      </c>
      <c r="Y112" s="21">
        <f>IF(Технологии!BF27="ИЗУЧЕНО",$E112,0)</f>
        <v>0</v>
      </c>
    </row>
    <row r="113" spans="1:25">
      <c r="A113" s="19" t="s">
        <v>138</v>
      </c>
      <c r="B113" s="18" t="s">
        <v>139</v>
      </c>
      <c r="C113" s="18" t="s">
        <v>295</v>
      </c>
      <c r="D113" s="18" t="s">
        <v>387</v>
      </c>
      <c r="E113" s="20">
        <v>-0.2</v>
      </c>
      <c r="F113" s="18" t="str">
        <f>IF(Технологии!BH27="","",Технологии!BH27)</f>
        <v/>
      </c>
      <c r="G113" s="18" t="s">
        <v>459</v>
      </c>
      <c r="J113" s="21">
        <f>0</f>
        <v>0</v>
      </c>
      <c r="K113" s="21">
        <f>IF(Технологии!AR27="ИЗУЧЕНО",$E113,0)</f>
        <v>0</v>
      </c>
      <c r="L113" s="21">
        <f>IF(Технологии!AS27="ИЗУЧЕНО",$E113,0)</f>
        <v>0</v>
      </c>
      <c r="M113" s="21">
        <f>IF(Технологии!AT27="ИЗУЧЕНО",$E113,0)</f>
        <v>0</v>
      </c>
      <c r="N113" s="21">
        <f>IF(Технологии!AU27="ИЗУЧЕНО",$E113,0)</f>
        <v>0</v>
      </c>
      <c r="O113" s="21">
        <f>IF(Технологии!AV27="ИЗУЧЕНО",$E113,0)</f>
        <v>0</v>
      </c>
      <c r="P113" s="21">
        <f>IF(Технологии!AW27="ИЗУЧЕНО",$E113,0)</f>
        <v>0</v>
      </c>
      <c r="Q113" s="21">
        <f>IF(Технологии!AX27="ИЗУЧЕНО",$E113,0)</f>
        <v>0</v>
      </c>
      <c r="R113" s="21">
        <f>IF(Технологии!AY27="ИЗУЧЕНО",$E113,0)</f>
        <v>0</v>
      </c>
      <c r="S113" s="21">
        <f>IF(Технологии!AZ27="ИЗУЧЕНО",$E113,0)</f>
        <v>0</v>
      </c>
      <c r="T113" s="21">
        <f>IF(Технологии!BA27="ИЗУЧЕНО",$E113,0)</f>
        <v>0</v>
      </c>
      <c r="U113" s="21">
        <f>IF(Технологии!BB27="ИЗУЧЕНО",$E113,0)</f>
        <v>0</v>
      </c>
      <c r="V113" s="21">
        <f>IF(Технологии!BC27="ИЗУЧЕНО",$E113,0)</f>
        <v>0</v>
      </c>
      <c r="W113" s="21">
        <f>IF(Технологии!BD27="ИЗУЧЕНО",$E113,0)</f>
        <v>0</v>
      </c>
      <c r="X113" s="21">
        <f>IF(Технологии!BE27="ИЗУЧЕНО",$E113,0)</f>
        <v>0</v>
      </c>
      <c r="Y113" s="21">
        <f>IF(Технологии!BF27="ИЗУЧЕНО",$E113,0)</f>
        <v>0</v>
      </c>
    </row>
    <row r="114" spans="1:25">
      <c r="A114" s="19" t="s">
        <v>138</v>
      </c>
      <c r="B114" s="18" t="s">
        <v>139</v>
      </c>
      <c r="C114" s="18" t="s">
        <v>260</v>
      </c>
      <c r="D114" s="18" t="s">
        <v>387</v>
      </c>
      <c r="E114" s="20">
        <v>-0.2</v>
      </c>
      <c r="F114" s="18" t="str">
        <f>IF(Технологии!BH27="","",Технологии!BH27)</f>
        <v/>
      </c>
      <c r="G114" s="18" t="s">
        <v>454</v>
      </c>
      <c r="J114" s="21">
        <f>0</f>
        <v>0</v>
      </c>
      <c r="K114" s="21">
        <f>IF(Технологии!AR27="ИЗУЧЕНО",$E114,0)</f>
        <v>0</v>
      </c>
      <c r="L114" s="21">
        <f>IF(Технологии!AS27="ИЗУЧЕНО",$E114,0)</f>
        <v>0</v>
      </c>
      <c r="M114" s="21">
        <f>IF(Технологии!AT27="ИЗУЧЕНО",$E114,0)</f>
        <v>0</v>
      </c>
      <c r="N114" s="21">
        <f>IF(Технологии!AU27="ИЗУЧЕНО",$E114,0)</f>
        <v>0</v>
      </c>
      <c r="O114" s="21">
        <f>IF(Технологии!AV27="ИЗУЧЕНО",$E114,0)</f>
        <v>0</v>
      </c>
      <c r="P114" s="21">
        <f>IF(Технологии!AW27="ИЗУЧЕНО",$E114,0)</f>
        <v>0</v>
      </c>
      <c r="Q114" s="21">
        <f>IF(Технологии!AX27="ИЗУЧЕНО",$E114,0)</f>
        <v>0</v>
      </c>
      <c r="R114" s="21">
        <f>IF(Технологии!AY27="ИЗУЧЕНО",$E114,0)</f>
        <v>0</v>
      </c>
      <c r="S114" s="21">
        <f>IF(Технологии!AZ27="ИЗУЧЕНО",$E114,0)</f>
        <v>0</v>
      </c>
      <c r="T114" s="21">
        <f>IF(Технологии!BA27="ИЗУЧЕНО",$E114,0)</f>
        <v>0</v>
      </c>
      <c r="U114" s="21">
        <f>IF(Технологии!BB27="ИЗУЧЕНО",$E114,0)</f>
        <v>0</v>
      </c>
      <c r="V114" s="21">
        <f>IF(Технологии!BC27="ИЗУЧЕНО",$E114,0)</f>
        <v>0</v>
      </c>
      <c r="W114" s="21">
        <f>IF(Технологии!BD27="ИЗУЧЕНО",$E114,0)</f>
        <v>0</v>
      </c>
      <c r="X114" s="21">
        <f>IF(Технологии!BE27="ИЗУЧЕНО",$E114,0)</f>
        <v>0</v>
      </c>
      <c r="Y114" s="21">
        <f>IF(Технологии!BF27="ИЗУЧЕНО",$E114,0)</f>
        <v>0</v>
      </c>
    </row>
    <row r="115" spans="1:25">
      <c r="A115" s="19" t="s">
        <v>142</v>
      </c>
      <c r="B115" s="18" t="s">
        <v>143</v>
      </c>
      <c r="C115" s="18" t="s">
        <v>288</v>
      </c>
      <c r="D115" s="18" t="s">
        <v>414</v>
      </c>
      <c r="E115" s="20">
        <v>0.1</v>
      </c>
      <c r="F115" s="18" t="str">
        <f>IF(Технологии!BH28="","",Технологии!BH28)</f>
        <v/>
      </c>
      <c r="G115" s="18" t="s">
        <v>460</v>
      </c>
      <c r="J115" s="21">
        <f>0</f>
        <v>0</v>
      </c>
      <c r="K115" s="21">
        <f>IF(Технологии!AR28="ИЗУЧЕНО",$E115,0)</f>
        <v>0</v>
      </c>
      <c r="L115" s="21">
        <f>IF(Технологии!AS28="ИЗУЧЕНО",$E115,0)</f>
        <v>0</v>
      </c>
      <c r="M115" s="21">
        <f>IF(Технологии!AT28="ИЗУЧЕНО",$E115,0)</f>
        <v>0</v>
      </c>
      <c r="N115" s="21">
        <f>IF(Технологии!AU28="ИЗУЧЕНО",$E115,0)</f>
        <v>0</v>
      </c>
      <c r="O115" s="21">
        <f>IF(Технологии!AV28="ИЗУЧЕНО",$E115,0)</f>
        <v>0</v>
      </c>
      <c r="P115" s="21">
        <f>IF(Технологии!AW28="ИЗУЧЕНО",$E115,0)</f>
        <v>0</v>
      </c>
      <c r="Q115" s="21">
        <f>IF(Технологии!AX28="ИЗУЧЕНО",$E115,0)</f>
        <v>0</v>
      </c>
      <c r="R115" s="21">
        <f>IF(Технологии!AY28="ИЗУЧЕНО",$E115,0)</f>
        <v>0</v>
      </c>
      <c r="S115" s="21">
        <f>IF(Технологии!AZ28="ИЗУЧЕНО",$E115,0)</f>
        <v>0</v>
      </c>
      <c r="T115" s="21">
        <f>IF(Технологии!BA28="ИЗУЧЕНО",$E115,0)</f>
        <v>0</v>
      </c>
      <c r="U115" s="21">
        <f>IF(Технологии!BB28="ИЗУЧЕНО",$E115,0)</f>
        <v>0</v>
      </c>
      <c r="V115" s="21">
        <f>IF(Технологии!BC28="ИЗУЧЕНО",$E115,0)</f>
        <v>0</v>
      </c>
      <c r="W115" s="21">
        <f>IF(Технологии!BD28="ИЗУЧЕНО",$E115,0)</f>
        <v>0</v>
      </c>
      <c r="X115" s="21">
        <f>IF(Технологии!BE28="ИЗУЧЕНО",$E115,0)</f>
        <v>0</v>
      </c>
      <c r="Y115" s="21">
        <f>IF(Технологии!BF28="ИЗУЧЕНО",$E115,0)</f>
        <v>0</v>
      </c>
    </row>
    <row r="116" spans="1:25">
      <c r="A116" s="19" t="s">
        <v>142</v>
      </c>
      <c r="B116" s="18" t="s">
        <v>143</v>
      </c>
      <c r="C116" s="18" t="s">
        <v>289</v>
      </c>
      <c r="D116" s="18" t="s">
        <v>414</v>
      </c>
      <c r="E116" s="20">
        <v>0.15</v>
      </c>
      <c r="F116" s="18" t="str">
        <f>IF(Технологии!BH28="","",Технологии!BH28)</f>
        <v/>
      </c>
      <c r="G116" s="18" t="s">
        <v>461</v>
      </c>
      <c r="J116" s="21">
        <f>0</f>
        <v>0</v>
      </c>
      <c r="K116" s="21">
        <f>IF(Технологии!AR28="ИЗУЧЕНО",$E116,0)</f>
        <v>0</v>
      </c>
      <c r="L116" s="21">
        <f>IF(Технологии!AS28="ИЗУЧЕНО",$E116,0)</f>
        <v>0</v>
      </c>
      <c r="M116" s="21">
        <f>IF(Технологии!AT28="ИЗУЧЕНО",$E116,0)</f>
        <v>0</v>
      </c>
      <c r="N116" s="21">
        <f>IF(Технологии!AU28="ИЗУЧЕНО",$E116,0)</f>
        <v>0</v>
      </c>
      <c r="O116" s="21">
        <f>IF(Технологии!AV28="ИЗУЧЕНО",$E116,0)</f>
        <v>0</v>
      </c>
      <c r="P116" s="21">
        <f>IF(Технологии!AW28="ИЗУЧЕНО",$E116,0)</f>
        <v>0</v>
      </c>
      <c r="Q116" s="21">
        <f>IF(Технологии!AX28="ИЗУЧЕНО",$E116,0)</f>
        <v>0</v>
      </c>
      <c r="R116" s="21">
        <f>IF(Технологии!AY28="ИЗУЧЕНО",$E116,0)</f>
        <v>0</v>
      </c>
      <c r="S116" s="21">
        <f>IF(Технологии!AZ28="ИЗУЧЕНО",$E116,0)</f>
        <v>0</v>
      </c>
      <c r="T116" s="21">
        <f>IF(Технологии!BA28="ИЗУЧЕНО",$E116,0)</f>
        <v>0</v>
      </c>
      <c r="U116" s="21">
        <f>IF(Технологии!BB28="ИЗУЧЕНО",$E116,0)</f>
        <v>0</v>
      </c>
      <c r="V116" s="21">
        <f>IF(Технологии!BC28="ИЗУЧЕНО",$E116,0)</f>
        <v>0</v>
      </c>
      <c r="W116" s="21">
        <f>IF(Технологии!BD28="ИЗУЧЕНО",$E116,0)</f>
        <v>0</v>
      </c>
      <c r="X116" s="21">
        <f>IF(Технологии!BE28="ИЗУЧЕНО",$E116,0)</f>
        <v>0</v>
      </c>
      <c r="Y116" s="21">
        <f>IF(Технологии!BF28="ИЗУЧЕНО",$E116,0)</f>
        <v>0</v>
      </c>
    </row>
    <row r="117" spans="1:25">
      <c r="A117" s="19" t="s">
        <v>142</v>
      </c>
      <c r="B117" s="18" t="s">
        <v>143</v>
      </c>
      <c r="C117" s="18" t="s">
        <v>292</v>
      </c>
      <c r="D117" s="18" t="s">
        <v>414</v>
      </c>
      <c r="E117" s="20">
        <v>0.1</v>
      </c>
      <c r="F117" s="18" t="str">
        <f>IF(Технологии!BH28="","",Технологии!BH28)</f>
        <v/>
      </c>
      <c r="G117" s="18" t="s">
        <v>462</v>
      </c>
      <c r="J117" s="21">
        <f>0</f>
        <v>0</v>
      </c>
      <c r="K117" s="21">
        <f>IF(Технологии!AR28="ИЗУЧЕНО",$E117,0)</f>
        <v>0</v>
      </c>
      <c r="L117" s="21">
        <f>IF(Технологии!AS28="ИЗУЧЕНО",$E117,0)</f>
        <v>0</v>
      </c>
      <c r="M117" s="21">
        <f>IF(Технологии!AT28="ИЗУЧЕНО",$E117,0)</f>
        <v>0</v>
      </c>
      <c r="N117" s="21">
        <f>IF(Технологии!AU28="ИЗУЧЕНО",$E117,0)</f>
        <v>0</v>
      </c>
      <c r="O117" s="21">
        <f>IF(Технологии!AV28="ИЗУЧЕНО",$E117,0)</f>
        <v>0</v>
      </c>
      <c r="P117" s="21">
        <f>IF(Технологии!AW28="ИЗУЧЕНО",$E117,0)</f>
        <v>0</v>
      </c>
      <c r="Q117" s="21">
        <f>IF(Технологии!AX28="ИЗУЧЕНО",$E117,0)</f>
        <v>0</v>
      </c>
      <c r="R117" s="21">
        <f>IF(Технологии!AY28="ИЗУЧЕНО",$E117,0)</f>
        <v>0</v>
      </c>
      <c r="S117" s="21">
        <f>IF(Технологии!AZ28="ИЗУЧЕНО",$E117,0)</f>
        <v>0</v>
      </c>
      <c r="T117" s="21">
        <f>IF(Технологии!BA28="ИЗУЧЕНО",$E117,0)</f>
        <v>0</v>
      </c>
      <c r="U117" s="21">
        <f>IF(Технологии!BB28="ИЗУЧЕНО",$E117,0)</f>
        <v>0</v>
      </c>
      <c r="V117" s="21">
        <f>IF(Технологии!BC28="ИЗУЧЕНО",$E117,0)</f>
        <v>0</v>
      </c>
      <c r="W117" s="21">
        <f>IF(Технологии!BD28="ИЗУЧЕНО",$E117,0)</f>
        <v>0</v>
      </c>
      <c r="X117" s="21">
        <f>IF(Технологии!BE28="ИЗУЧЕНО",$E117,0)</f>
        <v>0</v>
      </c>
      <c r="Y117" s="21">
        <f>IF(Технологии!BF28="ИЗУЧЕНО",$E117,0)</f>
        <v>0</v>
      </c>
    </row>
    <row r="118" spans="1:25">
      <c r="A118" s="19" t="s">
        <v>142</v>
      </c>
      <c r="B118" s="18" t="s">
        <v>143</v>
      </c>
      <c r="C118" s="18" t="s">
        <v>293</v>
      </c>
      <c r="D118" s="18" t="s">
        <v>387</v>
      </c>
      <c r="E118" s="20">
        <v>0.2</v>
      </c>
      <c r="F118" s="18" t="str">
        <f>IF(Технологии!BH28="","",Технологии!BH28)</f>
        <v/>
      </c>
      <c r="G118" s="18" t="s">
        <v>449</v>
      </c>
      <c r="J118" s="21">
        <f>0</f>
        <v>0</v>
      </c>
      <c r="K118" s="21">
        <f>IF(Технологии!AR28="ИЗУЧЕНО",$E118,0)</f>
        <v>0</v>
      </c>
      <c r="L118" s="21">
        <f>IF(Технологии!AS28="ИЗУЧЕНО",$E118,0)</f>
        <v>0</v>
      </c>
      <c r="M118" s="21">
        <f>IF(Технологии!AT28="ИЗУЧЕНО",$E118,0)</f>
        <v>0</v>
      </c>
      <c r="N118" s="21">
        <f>IF(Технологии!AU28="ИЗУЧЕНО",$E118,0)</f>
        <v>0</v>
      </c>
      <c r="O118" s="21">
        <f>IF(Технологии!AV28="ИЗУЧЕНО",$E118,0)</f>
        <v>0</v>
      </c>
      <c r="P118" s="21">
        <f>IF(Технологии!AW28="ИЗУЧЕНО",$E118,0)</f>
        <v>0</v>
      </c>
      <c r="Q118" s="21">
        <f>IF(Технологии!AX28="ИЗУЧЕНО",$E118,0)</f>
        <v>0</v>
      </c>
      <c r="R118" s="21">
        <f>IF(Технологии!AY28="ИЗУЧЕНО",$E118,0)</f>
        <v>0</v>
      </c>
      <c r="S118" s="21">
        <f>IF(Технологии!AZ28="ИЗУЧЕНО",$E118,0)</f>
        <v>0</v>
      </c>
      <c r="T118" s="21">
        <f>IF(Технологии!BA28="ИЗУЧЕНО",$E118,0)</f>
        <v>0</v>
      </c>
      <c r="U118" s="21">
        <f>IF(Технологии!BB28="ИЗУЧЕНО",$E118,0)</f>
        <v>0</v>
      </c>
      <c r="V118" s="21">
        <f>IF(Технологии!BC28="ИЗУЧЕНО",$E118,0)</f>
        <v>0</v>
      </c>
      <c r="W118" s="21">
        <f>IF(Технологии!BD28="ИЗУЧЕНО",$E118,0)</f>
        <v>0</v>
      </c>
      <c r="X118" s="21">
        <f>IF(Технологии!BE28="ИЗУЧЕНО",$E118,0)</f>
        <v>0</v>
      </c>
      <c r="Y118" s="21">
        <f>IF(Технологии!BF28="ИЗУЧЕНО",$E118,0)</f>
        <v>0</v>
      </c>
    </row>
    <row r="119" spans="1:25">
      <c r="A119" s="19" t="s">
        <v>142</v>
      </c>
      <c r="B119" s="18" t="s">
        <v>143</v>
      </c>
      <c r="C119" s="18" t="s">
        <v>290</v>
      </c>
      <c r="D119" s="18" t="s">
        <v>387</v>
      </c>
      <c r="E119" s="20">
        <v>0.3</v>
      </c>
      <c r="F119" s="18" t="str">
        <f>IF(Технологии!BH28="","",Технологии!BH28)</f>
        <v/>
      </c>
      <c r="G119" s="18" t="s">
        <v>447</v>
      </c>
      <c r="J119" s="21">
        <f>0</f>
        <v>0</v>
      </c>
      <c r="K119" s="21">
        <f>IF(Технологии!AR28="ИЗУЧЕНО",$E119,0)</f>
        <v>0</v>
      </c>
      <c r="L119" s="21">
        <f>IF(Технологии!AS28="ИЗУЧЕНО",$E119,0)</f>
        <v>0</v>
      </c>
      <c r="M119" s="21">
        <f>IF(Технологии!AT28="ИЗУЧЕНО",$E119,0)</f>
        <v>0</v>
      </c>
      <c r="N119" s="21">
        <f>IF(Технологии!AU28="ИЗУЧЕНО",$E119,0)</f>
        <v>0</v>
      </c>
      <c r="O119" s="21">
        <f>IF(Технологии!AV28="ИЗУЧЕНО",$E119,0)</f>
        <v>0</v>
      </c>
      <c r="P119" s="21">
        <f>IF(Технологии!AW28="ИЗУЧЕНО",$E119,0)</f>
        <v>0</v>
      </c>
      <c r="Q119" s="21">
        <f>IF(Технологии!AX28="ИЗУЧЕНО",$E119,0)</f>
        <v>0</v>
      </c>
      <c r="R119" s="21">
        <f>IF(Технологии!AY28="ИЗУЧЕНО",$E119,0)</f>
        <v>0</v>
      </c>
      <c r="S119" s="21">
        <f>IF(Технологии!AZ28="ИЗУЧЕНО",$E119,0)</f>
        <v>0</v>
      </c>
      <c r="T119" s="21">
        <f>IF(Технологии!BA28="ИЗУЧЕНО",$E119,0)</f>
        <v>0</v>
      </c>
      <c r="U119" s="21">
        <f>IF(Технологии!BB28="ИЗУЧЕНО",$E119,0)</f>
        <v>0</v>
      </c>
      <c r="V119" s="21">
        <f>IF(Технологии!BC28="ИЗУЧЕНО",$E119,0)</f>
        <v>0</v>
      </c>
      <c r="W119" s="21">
        <f>IF(Технологии!BD28="ИЗУЧЕНО",$E119,0)</f>
        <v>0</v>
      </c>
      <c r="X119" s="21">
        <f>IF(Технологии!BE28="ИЗУЧЕНО",$E119,0)</f>
        <v>0</v>
      </c>
      <c r="Y119" s="21">
        <f>IF(Технологии!BF28="ИЗУЧЕНО",$E119,0)</f>
        <v>0</v>
      </c>
    </row>
    <row r="120" spans="1:25">
      <c r="A120" s="19" t="s">
        <v>142</v>
      </c>
      <c r="B120" s="18" t="s">
        <v>143</v>
      </c>
      <c r="C120" s="18" t="s">
        <v>281</v>
      </c>
      <c r="D120" s="18" t="s">
        <v>414</v>
      </c>
      <c r="E120" s="20">
        <v>0.05</v>
      </c>
      <c r="F120" s="18" t="str">
        <f>IF(Технологии!BH28="","",Технологии!BH28)</f>
        <v/>
      </c>
      <c r="G120" s="18" t="s">
        <v>463</v>
      </c>
      <c r="J120" s="21">
        <f>0</f>
        <v>0</v>
      </c>
      <c r="K120" s="21">
        <f>IF(Технологии!AR28="ИЗУЧЕНО",$E120,0)</f>
        <v>0</v>
      </c>
      <c r="L120" s="21">
        <f>IF(Технологии!AS28="ИЗУЧЕНО",$E120,0)</f>
        <v>0</v>
      </c>
      <c r="M120" s="21">
        <f>IF(Технологии!AT28="ИЗУЧЕНО",$E120,0)</f>
        <v>0</v>
      </c>
      <c r="N120" s="21">
        <f>IF(Технологии!AU28="ИЗУЧЕНО",$E120,0)</f>
        <v>0</v>
      </c>
      <c r="O120" s="21">
        <f>IF(Технологии!AV28="ИЗУЧЕНО",$E120,0)</f>
        <v>0</v>
      </c>
      <c r="P120" s="21">
        <f>IF(Технологии!AW28="ИЗУЧЕНО",$E120,0)</f>
        <v>0</v>
      </c>
      <c r="Q120" s="21">
        <f>IF(Технологии!AX28="ИЗУЧЕНО",$E120,0)</f>
        <v>0</v>
      </c>
      <c r="R120" s="21">
        <f>IF(Технологии!AY28="ИЗУЧЕНО",$E120,0)</f>
        <v>0</v>
      </c>
      <c r="S120" s="21">
        <f>IF(Технологии!AZ28="ИЗУЧЕНО",$E120,0)</f>
        <v>0</v>
      </c>
      <c r="T120" s="21">
        <f>IF(Технологии!BA28="ИЗУЧЕНО",$E120,0)</f>
        <v>0</v>
      </c>
      <c r="U120" s="21">
        <f>IF(Технологии!BB28="ИЗУЧЕНО",$E120,0)</f>
        <v>0</v>
      </c>
      <c r="V120" s="21">
        <f>IF(Технологии!BC28="ИЗУЧЕНО",$E120,0)</f>
        <v>0</v>
      </c>
      <c r="W120" s="21">
        <f>IF(Технологии!BD28="ИЗУЧЕНО",$E120,0)</f>
        <v>0</v>
      </c>
      <c r="X120" s="21">
        <f>IF(Технологии!BE28="ИЗУЧЕНО",$E120,0)</f>
        <v>0</v>
      </c>
      <c r="Y120" s="21">
        <f>IF(Технологии!BF28="ИЗУЧЕНО",$E120,0)</f>
        <v>0</v>
      </c>
    </row>
    <row r="121" spans="1:25">
      <c r="A121" s="19" t="s">
        <v>142</v>
      </c>
      <c r="B121" s="18" t="s">
        <v>143</v>
      </c>
      <c r="C121" s="18" t="s">
        <v>303</v>
      </c>
      <c r="D121" s="18" t="s">
        <v>387</v>
      </c>
      <c r="E121" s="20">
        <v>-0.2</v>
      </c>
      <c r="F121" s="18" t="str">
        <f>IF(Технологии!BH28="","",Технологии!BH28)</f>
        <v/>
      </c>
      <c r="G121" s="18" t="s">
        <v>442</v>
      </c>
      <c r="J121" s="21">
        <f>0</f>
        <v>0</v>
      </c>
      <c r="K121" s="21">
        <f>IF(Технологии!AR28="ИЗУЧЕНО",$E121,0)</f>
        <v>0</v>
      </c>
      <c r="L121" s="21">
        <f>IF(Технологии!AS28="ИЗУЧЕНО",$E121,0)</f>
        <v>0</v>
      </c>
      <c r="M121" s="21">
        <f>IF(Технологии!AT28="ИЗУЧЕНО",$E121,0)</f>
        <v>0</v>
      </c>
      <c r="N121" s="21">
        <f>IF(Технологии!AU28="ИЗУЧЕНО",$E121,0)</f>
        <v>0</v>
      </c>
      <c r="O121" s="21">
        <f>IF(Технологии!AV28="ИЗУЧЕНО",$E121,0)</f>
        <v>0</v>
      </c>
      <c r="P121" s="21">
        <f>IF(Технологии!AW28="ИЗУЧЕНО",$E121,0)</f>
        <v>0</v>
      </c>
      <c r="Q121" s="21">
        <f>IF(Технологии!AX28="ИЗУЧЕНО",$E121,0)</f>
        <v>0</v>
      </c>
      <c r="R121" s="21">
        <f>IF(Технологии!AY28="ИЗУЧЕНО",$E121,0)</f>
        <v>0</v>
      </c>
      <c r="S121" s="21">
        <f>IF(Технологии!AZ28="ИЗУЧЕНО",$E121,0)</f>
        <v>0</v>
      </c>
      <c r="T121" s="21">
        <f>IF(Технологии!BA28="ИЗУЧЕНО",$E121,0)</f>
        <v>0</v>
      </c>
      <c r="U121" s="21">
        <f>IF(Технологии!BB28="ИЗУЧЕНО",$E121,0)</f>
        <v>0</v>
      </c>
      <c r="V121" s="21">
        <f>IF(Технологии!BC28="ИЗУЧЕНО",$E121,0)</f>
        <v>0</v>
      </c>
      <c r="W121" s="21">
        <f>IF(Технологии!BD28="ИЗУЧЕНО",$E121,0)</f>
        <v>0</v>
      </c>
      <c r="X121" s="21">
        <f>IF(Технологии!BE28="ИЗУЧЕНО",$E121,0)</f>
        <v>0</v>
      </c>
      <c r="Y121" s="21">
        <f>IF(Технологии!BF28="ИЗУЧЕНО",$E121,0)</f>
        <v>0</v>
      </c>
    </row>
    <row r="122" spans="1:25">
      <c r="A122" s="19" t="s">
        <v>142</v>
      </c>
      <c r="B122" s="18" t="s">
        <v>143</v>
      </c>
      <c r="C122" s="18" t="s">
        <v>260</v>
      </c>
      <c r="D122" s="18" t="s">
        <v>387</v>
      </c>
      <c r="E122" s="20">
        <v>-0.25</v>
      </c>
      <c r="F122" s="18" t="str">
        <f>IF(Технологии!BH28="","",Технологии!BH28)</f>
        <v/>
      </c>
      <c r="G122" s="18" t="s">
        <v>400</v>
      </c>
      <c r="J122" s="21">
        <f>0</f>
        <v>0</v>
      </c>
      <c r="K122" s="21">
        <f>IF(Технологии!AR28="ИЗУЧЕНО",$E122,0)</f>
        <v>0</v>
      </c>
      <c r="L122" s="21">
        <f>IF(Технологии!AS28="ИЗУЧЕНО",$E122,0)</f>
        <v>0</v>
      </c>
      <c r="M122" s="21">
        <f>IF(Технологии!AT28="ИЗУЧЕНО",$E122,0)</f>
        <v>0</v>
      </c>
      <c r="N122" s="21">
        <f>IF(Технологии!AU28="ИЗУЧЕНО",$E122,0)</f>
        <v>0</v>
      </c>
      <c r="O122" s="21">
        <f>IF(Технологии!AV28="ИЗУЧЕНО",$E122,0)</f>
        <v>0</v>
      </c>
      <c r="P122" s="21">
        <f>IF(Технологии!AW28="ИЗУЧЕНО",$E122,0)</f>
        <v>0</v>
      </c>
      <c r="Q122" s="21">
        <f>IF(Технологии!AX28="ИЗУЧЕНО",$E122,0)</f>
        <v>0</v>
      </c>
      <c r="R122" s="21">
        <f>IF(Технологии!AY28="ИЗУЧЕНО",$E122,0)</f>
        <v>0</v>
      </c>
      <c r="S122" s="21">
        <f>IF(Технологии!AZ28="ИЗУЧЕНО",$E122,0)</f>
        <v>0</v>
      </c>
      <c r="T122" s="21">
        <f>IF(Технологии!BA28="ИЗУЧЕНО",$E122,0)</f>
        <v>0</v>
      </c>
      <c r="U122" s="21">
        <f>IF(Технологии!BB28="ИЗУЧЕНО",$E122,0)</f>
        <v>0</v>
      </c>
      <c r="V122" s="21">
        <f>IF(Технологии!BC28="ИЗУЧЕНО",$E122,0)</f>
        <v>0</v>
      </c>
      <c r="W122" s="21">
        <f>IF(Технологии!BD28="ИЗУЧЕНО",$E122,0)</f>
        <v>0</v>
      </c>
      <c r="X122" s="21">
        <f>IF(Технологии!BE28="ИЗУЧЕНО",$E122,0)</f>
        <v>0</v>
      </c>
      <c r="Y122" s="21">
        <f>IF(Технологии!BF28="ИЗУЧЕНО",$E122,0)</f>
        <v>0</v>
      </c>
    </row>
    <row r="123" spans="1:25">
      <c r="A123" s="19" t="s">
        <v>142</v>
      </c>
      <c r="B123" s="18" t="s">
        <v>143</v>
      </c>
      <c r="C123" s="18" t="s">
        <v>266</v>
      </c>
      <c r="D123" s="18" t="s">
        <v>387</v>
      </c>
      <c r="E123" s="20">
        <v>-0.15</v>
      </c>
      <c r="F123" s="18" t="str">
        <f>IF(Технологии!BH28="","",Технологии!BH28)</f>
        <v/>
      </c>
      <c r="G123" s="18" t="s">
        <v>464</v>
      </c>
      <c r="J123" s="21">
        <f>0</f>
        <v>0</v>
      </c>
      <c r="K123" s="21">
        <f>IF(Технологии!AR28="ИЗУЧЕНО",$E123,0)</f>
        <v>0</v>
      </c>
      <c r="L123" s="21">
        <f>IF(Технологии!AS28="ИЗУЧЕНО",$E123,0)</f>
        <v>0</v>
      </c>
      <c r="M123" s="21">
        <f>IF(Технологии!AT28="ИЗУЧЕНО",$E123,0)</f>
        <v>0</v>
      </c>
      <c r="N123" s="21">
        <f>IF(Технологии!AU28="ИЗУЧЕНО",$E123,0)</f>
        <v>0</v>
      </c>
      <c r="O123" s="21">
        <f>IF(Технологии!AV28="ИЗУЧЕНО",$E123,0)</f>
        <v>0</v>
      </c>
      <c r="P123" s="21">
        <f>IF(Технологии!AW28="ИЗУЧЕНО",$E123,0)</f>
        <v>0</v>
      </c>
      <c r="Q123" s="21">
        <f>IF(Технологии!AX28="ИЗУЧЕНО",$E123,0)</f>
        <v>0</v>
      </c>
      <c r="R123" s="21">
        <f>IF(Технологии!AY28="ИЗУЧЕНО",$E123,0)</f>
        <v>0</v>
      </c>
      <c r="S123" s="21">
        <f>IF(Технологии!AZ28="ИЗУЧЕНО",$E123,0)</f>
        <v>0</v>
      </c>
      <c r="T123" s="21">
        <f>IF(Технологии!BA28="ИЗУЧЕНО",$E123,0)</f>
        <v>0</v>
      </c>
      <c r="U123" s="21">
        <f>IF(Технологии!BB28="ИЗУЧЕНО",$E123,0)</f>
        <v>0</v>
      </c>
      <c r="V123" s="21">
        <f>IF(Технологии!BC28="ИЗУЧЕНО",$E123,0)</f>
        <v>0</v>
      </c>
      <c r="W123" s="21">
        <f>IF(Технологии!BD28="ИЗУЧЕНО",$E123,0)</f>
        <v>0</v>
      </c>
      <c r="X123" s="21">
        <f>IF(Технологии!BE28="ИЗУЧЕНО",$E123,0)</f>
        <v>0</v>
      </c>
      <c r="Y123" s="21">
        <f>IF(Технологии!BF28="ИЗУЧЕНО",$E123,0)</f>
        <v>0</v>
      </c>
    </row>
    <row r="124" spans="1:25">
      <c r="A124" s="19" t="s">
        <v>142</v>
      </c>
      <c r="B124" s="18" t="s">
        <v>143</v>
      </c>
      <c r="C124" s="18" t="s">
        <v>311</v>
      </c>
      <c r="D124" s="18" t="s">
        <v>387</v>
      </c>
      <c r="E124" s="20">
        <v>-0.15</v>
      </c>
      <c r="F124" s="18" t="str">
        <f>IF(Технологии!BH28="","",Технологии!BH28)</f>
        <v/>
      </c>
      <c r="G124" s="18" t="s">
        <v>436</v>
      </c>
      <c r="J124" s="21">
        <f>0</f>
        <v>0</v>
      </c>
      <c r="K124" s="21">
        <f>IF(Технологии!AR28="ИЗУЧЕНО",$E124,0)</f>
        <v>0</v>
      </c>
      <c r="L124" s="21">
        <f>IF(Технологии!AS28="ИЗУЧЕНО",$E124,0)</f>
        <v>0</v>
      </c>
      <c r="M124" s="21">
        <f>IF(Технологии!AT28="ИЗУЧЕНО",$E124,0)</f>
        <v>0</v>
      </c>
      <c r="N124" s="21">
        <f>IF(Технологии!AU28="ИЗУЧЕНО",$E124,0)</f>
        <v>0</v>
      </c>
      <c r="O124" s="21">
        <f>IF(Технологии!AV28="ИЗУЧЕНО",$E124,0)</f>
        <v>0</v>
      </c>
      <c r="P124" s="21">
        <f>IF(Технологии!AW28="ИЗУЧЕНО",$E124,0)</f>
        <v>0</v>
      </c>
      <c r="Q124" s="21">
        <f>IF(Технологии!AX28="ИЗУЧЕНО",$E124,0)</f>
        <v>0</v>
      </c>
      <c r="R124" s="21">
        <f>IF(Технологии!AY28="ИЗУЧЕНО",$E124,0)</f>
        <v>0</v>
      </c>
      <c r="S124" s="21">
        <f>IF(Технологии!AZ28="ИЗУЧЕНО",$E124,0)</f>
        <v>0</v>
      </c>
      <c r="T124" s="21">
        <f>IF(Технологии!BA28="ИЗУЧЕНО",$E124,0)</f>
        <v>0</v>
      </c>
      <c r="U124" s="21">
        <f>IF(Технологии!BB28="ИЗУЧЕНО",$E124,0)</f>
        <v>0</v>
      </c>
      <c r="V124" s="21">
        <f>IF(Технологии!BC28="ИЗУЧЕНО",$E124,0)</f>
        <v>0</v>
      </c>
      <c r="W124" s="21">
        <f>IF(Технологии!BD28="ИЗУЧЕНО",$E124,0)</f>
        <v>0</v>
      </c>
      <c r="X124" s="21">
        <f>IF(Технологии!BE28="ИЗУЧЕНО",$E124,0)</f>
        <v>0</v>
      </c>
      <c r="Y124" s="21">
        <f>IF(Технологии!BF28="ИЗУЧЕНО",$E124,0)</f>
        <v>0</v>
      </c>
    </row>
    <row r="125" spans="1:25">
      <c r="A125" s="19" t="s">
        <v>146</v>
      </c>
      <c r="B125" s="18" t="s">
        <v>148</v>
      </c>
      <c r="C125" s="18" t="s">
        <v>269</v>
      </c>
      <c r="D125" s="18" t="s">
        <v>414</v>
      </c>
      <c r="E125" s="20">
        <v>0.05</v>
      </c>
      <c r="F125" s="18" t="str">
        <f>IF(Технологии!BH29="","",Технологии!BH29)</f>
        <v/>
      </c>
      <c r="G125" s="18" t="s">
        <v>429</v>
      </c>
      <c r="J125" s="21">
        <f>0</f>
        <v>0</v>
      </c>
      <c r="K125" s="21">
        <f>IF(Технологии!AR29="ИЗУЧЕНО",$E125,0)</f>
        <v>0</v>
      </c>
      <c r="L125" s="21">
        <f>IF(Технологии!AS29="ИЗУЧЕНО",$E125,0)</f>
        <v>0</v>
      </c>
      <c r="M125" s="21">
        <f>IF(Технологии!AT29="ИЗУЧЕНО",$E125,0)</f>
        <v>0</v>
      </c>
      <c r="N125" s="21">
        <f>IF(Технологии!AU29="ИЗУЧЕНО",$E125,0)</f>
        <v>0</v>
      </c>
      <c r="O125" s="21">
        <f>IF(Технологии!AV29="ИЗУЧЕНО",$E125,0)</f>
        <v>0</v>
      </c>
      <c r="P125" s="21">
        <f>IF(Технологии!AW29="ИЗУЧЕНО",$E125,0)</f>
        <v>0</v>
      </c>
      <c r="Q125" s="21">
        <f>IF(Технологии!AX29="ИЗУЧЕНО",$E125,0)</f>
        <v>0</v>
      </c>
      <c r="R125" s="21">
        <f>IF(Технологии!AY29="ИЗУЧЕНО",$E125,0)</f>
        <v>0</v>
      </c>
      <c r="S125" s="21">
        <f>IF(Технологии!AZ29="ИЗУЧЕНО",$E125,0)</f>
        <v>0</v>
      </c>
      <c r="T125" s="21">
        <f>IF(Технологии!BA29="ИЗУЧЕНО",$E125,0)</f>
        <v>0</v>
      </c>
      <c r="U125" s="21">
        <f>IF(Технологии!BB29="ИЗУЧЕНО",$E125,0)</f>
        <v>0</v>
      </c>
      <c r="V125" s="21">
        <f>IF(Технологии!BC29="ИЗУЧЕНО",$E125,0)</f>
        <v>0</v>
      </c>
      <c r="W125" s="21">
        <f>IF(Технологии!BD29="ИЗУЧЕНО",$E125,0)</f>
        <v>0</v>
      </c>
      <c r="X125" s="21">
        <f>IF(Технологии!BE29="ИЗУЧЕНО",$E125,0)</f>
        <v>0</v>
      </c>
      <c r="Y125" s="21">
        <f>IF(Технологии!BF29="ИЗУЧЕНО",$E125,0)</f>
        <v>0</v>
      </c>
    </row>
    <row r="126" spans="1:25">
      <c r="A126" s="19" t="s">
        <v>151</v>
      </c>
      <c r="B126" s="18" t="s">
        <v>152</v>
      </c>
      <c r="C126" s="18" t="s">
        <v>301</v>
      </c>
      <c r="D126" s="18" t="s">
        <v>387</v>
      </c>
      <c r="E126" s="20">
        <v>0.3</v>
      </c>
      <c r="F126" s="18" t="str">
        <f>IF(Технологии!BH30="","",Технологии!BH30)</f>
        <v/>
      </c>
      <c r="G126" s="18" t="s">
        <v>465</v>
      </c>
      <c r="J126" s="21">
        <f>0</f>
        <v>0</v>
      </c>
      <c r="K126" s="21">
        <f>IF(Технологии!AR30="ИЗУЧЕНО",$E126,0)</f>
        <v>0</v>
      </c>
      <c r="L126" s="21">
        <f>IF(Технологии!AS30="ИЗУЧЕНО",$E126,0)</f>
        <v>0</v>
      </c>
      <c r="M126" s="21">
        <f>IF(Технологии!AT30="ИЗУЧЕНО",$E126,0)</f>
        <v>0</v>
      </c>
      <c r="N126" s="21">
        <f>IF(Технологии!AU30="ИЗУЧЕНО",$E126,0)</f>
        <v>0</v>
      </c>
      <c r="O126" s="21">
        <f>IF(Технологии!AV30="ИЗУЧЕНО",$E126,0)</f>
        <v>0</v>
      </c>
      <c r="P126" s="21">
        <f>IF(Технологии!AW30="ИЗУЧЕНО",$E126,0)</f>
        <v>0</v>
      </c>
      <c r="Q126" s="21">
        <f>IF(Технологии!AX30="ИЗУЧЕНО",$E126,0)</f>
        <v>0</v>
      </c>
      <c r="R126" s="21">
        <f>IF(Технологии!AY30="ИЗУЧЕНО",$E126,0)</f>
        <v>0</v>
      </c>
      <c r="S126" s="21">
        <f>IF(Технологии!AZ30="ИЗУЧЕНО",$E126,0)</f>
        <v>0</v>
      </c>
      <c r="T126" s="21">
        <f>IF(Технологии!BA30="ИЗУЧЕНО",$E126,0)</f>
        <v>0</v>
      </c>
      <c r="U126" s="21">
        <f>IF(Технологии!BB30="ИЗУЧЕНО",$E126,0)</f>
        <v>0</v>
      </c>
      <c r="V126" s="21">
        <f>IF(Технологии!BC30="ИЗУЧЕНО",$E126,0)</f>
        <v>0</v>
      </c>
      <c r="W126" s="21">
        <f>IF(Технологии!BD30="ИЗУЧЕНО",$E126,0)</f>
        <v>0</v>
      </c>
      <c r="X126" s="21">
        <f>IF(Технологии!BE30="ИЗУЧЕНО",$E126,0)</f>
        <v>0</v>
      </c>
      <c r="Y126" s="21">
        <f>IF(Технологии!BF30="ИЗУЧЕНО",$E126,0)</f>
        <v>0</v>
      </c>
    </row>
    <row r="127" spans="1:25">
      <c r="A127" s="19" t="s">
        <v>151</v>
      </c>
      <c r="B127" s="18" t="s">
        <v>152</v>
      </c>
      <c r="C127" s="18" t="s">
        <v>301</v>
      </c>
      <c r="D127" s="18" t="s">
        <v>414</v>
      </c>
      <c r="E127" s="20">
        <v>0.08</v>
      </c>
      <c r="F127" s="18" t="str">
        <f>IF(Технологии!BH30="","",Технологии!BH30)</f>
        <v/>
      </c>
      <c r="G127" s="18" t="s">
        <v>465</v>
      </c>
      <c r="J127" s="21">
        <f>0</f>
        <v>0</v>
      </c>
      <c r="K127" s="21">
        <f>IF(Технологии!AR30="ИЗУЧЕНО",$E127,0)</f>
        <v>0</v>
      </c>
      <c r="L127" s="21">
        <f>IF(Технологии!AS30="ИЗУЧЕНО",$E127,0)</f>
        <v>0</v>
      </c>
      <c r="M127" s="21">
        <f>IF(Технологии!AT30="ИЗУЧЕНО",$E127,0)</f>
        <v>0</v>
      </c>
      <c r="N127" s="21">
        <f>IF(Технологии!AU30="ИЗУЧЕНО",$E127,0)</f>
        <v>0</v>
      </c>
      <c r="O127" s="21">
        <f>IF(Технологии!AV30="ИЗУЧЕНО",$E127,0)</f>
        <v>0</v>
      </c>
      <c r="P127" s="21">
        <f>IF(Технологии!AW30="ИЗУЧЕНО",$E127,0)</f>
        <v>0</v>
      </c>
      <c r="Q127" s="21">
        <f>IF(Технологии!AX30="ИЗУЧЕНО",$E127,0)</f>
        <v>0</v>
      </c>
      <c r="R127" s="21">
        <f>IF(Технологии!AY30="ИЗУЧЕНО",$E127,0)</f>
        <v>0</v>
      </c>
      <c r="S127" s="21">
        <f>IF(Технологии!AZ30="ИЗУЧЕНО",$E127,0)</f>
        <v>0</v>
      </c>
      <c r="T127" s="21">
        <f>IF(Технологии!BA30="ИЗУЧЕНО",$E127,0)</f>
        <v>0</v>
      </c>
      <c r="U127" s="21">
        <f>IF(Технологии!BB30="ИЗУЧЕНО",$E127,0)</f>
        <v>0</v>
      </c>
      <c r="V127" s="21">
        <f>IF(Технологии!BC30="ИЗУЧЕНО",$E127,0)</f>
        <v>0</v>
      </c>
      <c r="W127" s="21">
        <f>IF(Технологии!BD30="ИЗУЧЕНО",$E127,0)</f>
        <v>0</v>
      </c>
      <c r="X127" s="21">
        <f>IF(Технологии!BE30="ИЗУЧЕНО",$E127,0)</f>
        <v>0</v>
      </c>
      <c r="Y127" s="21">
        <f>IF(Технологии!BF30="ИЗУЧЕНО",$E127,0)</f>
        <v>0</v>
      </c>
    </row>
    <row r="128" spans="1:25">
      <c r="A128" s="19" t="s">
        <v>151</v>
      </c>
      <c r="B128" s="18" t="s">
        <v>152</v>
      </c>
      <c r="C128" s="18" t="s">
        <v>299</v>
      </c>
      <c r="D128" s="18" t="s">
        <v>387</v>
      </c>
      <c r="E128" s="20">
        <v>0.2</v>
      </c>
      <c r="F128" s="18" t="str">
        <f>IF(Технологии!BH30="","",Технологии!BH30)</f>
        <v/>
      </c>
      <c r="G128" s="18" t="s">
        <v>466</v>
      </c>
      <c r="J128" s="21">
        <f>0</f>
        <v>0</v>
      </c>
      <c r="K128" s="21">
        <f>IF(Технологии!AR30="ИЗУЧЕНО",$E128,0)</f>
        <v>0</v>
      </c>
      <c r="L128" s="21">
        <f>IF(Технологии!AS30="ИЗУЧЕНО",$E128,0)</f>
        <v>0</v>
      </c>
      <c r="M128" s="21">
        <f>IF(Технологии!AT30="ИЗУЧЕНО",$E128,0)</f>
        <v>0</v>
      </c>
      <c r="N128" s="21">
        <f>IF(Технологии!AU30="ИЗУЧЕНО",$E128,0)</f>
        <v>0</v>
      </c>
      <c r="O128" s="21">
        <f>IF(Технологии!AV30="ИЗУЧЕНО",$E128,0)</f>
        <v>0</v>
      </c>
      <c r="P128" s="21">
        <f>IF(Технологии!AW30="ИЗУЧЕНО",$E128,0)</f>
        <v>0</v>
      </c>
      <c r="Q128" s="21">
        <f>IF(Технологии!AX30="ИЗУЧЕНО",$E128,0)</f>
        <v>0</v>
      </c>
      <c r="R128" s="21">
        <f>IF(Технологии!AY30="ИЗУЧЕНО",$E128,0)</f>
        <v>0</v>
      </c>
      <c r="S128" s="21">
        <f>IF(Технологии!AZ30="ИЗУЧЕНО",$E128,0)</f>
        <v>0</v>
      </c>
      <c r="T128" s="21">
        <f>IF(Технологии!BA30="ИЗУЧЕНО",$E128,0)</f>
        <v>0</v>
      </c>
      <c r="U128" s="21">
        <f>IF(Технологии!BB30="ИЗУЧЕНО",$E128,0)</f>
        <v>0</v>
      </c>
      <c r="V128" s="21">
        <f>IF(Технологии!BC30="ИЗУЧЕНО",$E128,0)</f>
        <v>0</v>
      </c>
      <c r="W128" s="21">
        <f>IF(Технологии!BD30="ИЗУЧЕНО",$E128,0)</f>
        <v>0</v>
      </c>
      <c r="X128" s="21">
        <f>IF(Технологии!BE30="ИЗУЧЕНО",$E128,0)</f>
        <v>0</v>
      </c>
      <c r="Y128" s="21">
        <f>IF(Технологии!BF30="ИЗУЧЕНО",$E128,0)</f>
        <v>0</v>
      </c>
    </row>
    <row r="129" spans="1:25">
      <c r="A129" s="19" t="s">
        <v>151</v>
      </c>
      <c r="B129" s="18" t="s">
        <v>152</v>
      </c>
      <c r="C129" s="18" t="s">
        <v>295</v>
      </c>
      <c r="D129" s="18" t="s">
        <v>387</v>
      </c>
      <c r="E129" s="20">
        <v>-0.15</v>
      </c>
      <c r="F129" s="18" t="str">
        <f>IF(Технологии!BH30="","",Технологии!BH30)</f>
        <v/>
      </c>
      <c r="G129" s="18" t="s">
        <v>430</v>
      </c>
      <c r="J129" s="21">
        <f>0</f>
        <v>0</v>
      </c>
      <c r="K129" s="21">
        <f>IF(Технологии!AR30="ИЗУЧЕНО",$E129,0)</f>
        <v>0</v>
      </c>
      <c r="L129" s="21">
        <f>IF(Технологии!AS30="ИЗУЧЕНО",$E129,0)</f>
        <v>0</v>
      </c>
      <c r="M129" s="21">
        <f>IF(Технологии!AT30="ИЗУЧЕНО",$E129,0)</f>
        <v>0</v>
      </c>
      <c r="N129" s="21">
        <f>IF(Технологии!AU30="ИЗУЧЕНО",$E129,0)</f>
        <v>0</v>
      </c>
      <c r="O129" s="21">
        <f>IF(Технологии!AV30="ИЗУЧЕНО",$E129,0)</f>
        <v>0</v>
      </c>
      <c r="P129" s="21">
        <f>IF(Технологии!AW30="ИЗУЧЕНО",$E129,0)</f>
        <v>0</v>
      </c>
      <c r="Q129" s="21">
        <f>IF(Технологии!AX30="ИЗУЧЕНО",$E129,0)</f>
        <v>0</v>
      </c>
      <c r="R129" s="21">
        <f>IF(Технологии!AY30="ИЗУЧЕНО",$E129,0)</f>
        <v>0</v>
      </c>
      <c r="S129" s="21">
        <f>IF(Технологии!AZ30="ИЗУЧЕНО",$E129,0)</f>
        <v>0</v>
      </c>
      <c r="T129" s="21">
        <f>IF(Технологии!BA30="ИЗУЧЕНО",$E129,0)</f>
        <v>0</v>
      </c>
      <c r="U129" s="21">
        <f>IF(Технологии!BB30="ИЗУЧЕНО",$E129,0)</f>
        <v>0</v>
      </c>
      <c r="V129" s="21">
        <f>IF(Технологии!BC30="ИЗУЧЕНО",$E129,0)</f>
        <v>0</v>
      </c>
      <c r="W129" s="21">
        <f>IF(Технологии!BD30="ИЗУЧЕНО",$E129,0)</f>
        <v>0</v>
      </c>
      <c r="X129" s="21">
        <f>IF(Технологии!BE30="ИЗУЧЕНО",$E129,0)</f>
        <v>0</v>
      </c>
      <c r="Y129" s="21">
        <f>IF(Технологии!BF30="ИЗУЧЕНО",$E129,0)</f>
        <v>0</v>
      </c>
    </row>
    <row r="130" spans="1:25">
      <c r="A130" s="19" t="s">
        <v>155</v>
      </c>
      <c r="B130" s="18" t="s">
        <v>156</v>
      </c>
      <c r="C130" s="18" t="s">
        <v>269</v>
      </c>
      <c r="D130" s="18" t="s">
        <v>414</v>
      </c>
      <c r="E130" s="20">
        <v>0.08</v>
      </c>
      <c r="F130" s="18" t="str">
        <f>IF(Технологии!BH31="","",Технологии!BH31)</f>
        <v/>
      </c>
      <c r="G130" s="18" t="s">
        <v>467</v>
      </c>
      <c r="J130" s="21">
        <f>0</f>
        <v>0</v>
      </c>
      <c r="K130" s="21">
        <f>IF(Технологии!AR31="ИЗУЧЕНО",$E130,0)</f>
        <v>0</v>
      </c>
      <c r="L130" s="21">
        <f>IF(Технологии!AS31="ИЗУЧЕНО",$E130,0)</f>
        <v>0</v>
      </c>
      <c r="M130" s="21">
        <f>IF(Технологии!AT31="ИЗУЧЕНО",$E130,0)</f>
        <v>0</v>
      </c>
      <c r="N130" s="21">
        <f>IF(Технологии!AU31="ИЗУЧЕНО",$E130,0)</f>
        <v>0</v>
      </c>
      <c r="O130" s="21">
        <f>IF(Технологии!AV31="ИЗУЧЕНО",$E130,0)</f>
        <v>0</v>
      </c>
      <c r="P130" s="21">
        <f>IF(Технологии!AW31="ИЗУЧЕНО",$E130,0)</f>
        <v>0</v>
      </c>
      <c r="Q130" s="21">
        <f>IF(Технологии!AX31="ИЗУЧЕНО",$E130,0)</f>
        <v>0</v>
      </c>
      <c r="R130" s="21">
        <f>IF(Технологии!AY31="ИЗУЧЕНО",$E130,0)</f>
        <v>0</v>
      </c>
      <c r="S130" s="21">
        <f>IF(Технологии!AZ31="ИЗУЧЕНО",$E130,0)</f>
        <v>0</v>
      </c>
      <c r="T130" s="21">
        <f>IF(Технологии!BA31="ИЗУЧЕНО",$E130,0)</f>
        <v>0</v>
      </c>
      <c r="U130" s="21">
        <f>IF(Технологии!BB31="ИЗУЧЕНО",$E130,0)</f>
        <v>0</v>
      </c>
      <c r="V130" s="21">
        <f>IF(Технологии!BC31="ИЗУЧЕНО",$E130,0)</f>
        <v>0</v>
      </c>
      <c r="W130" s="21">
        <f>IF(Технологии!BD31="ИЗУЧЕНО",$E130,0)</f>
        <v>0</v>
      </c>
      <c r="X130" s="21">
        <f>IF(Технологии!BE31="ИЗУЧЕНО",$E130,0)</f>
        <v>0</v>
      </c>
      <c r="Y130" s="21">
        <f>IF(Технологии!BF31="ИЗУЧЕНО",$E130,0)</f>
        <v>0</v>
      </c>
    </row>
    <row r="131" spans="1:25">
      <c r="A131" s="19" t="s">
        <v>155</v>
      </c>
      <c r="B131" s="18" t="s">
        <v>156</v>
      </c>
      <c r="C131" s="18" t="s">
        <v>301</v>
      </c>
      <c r="D131" s="18" t="s">
        <v>387</v>
      </c>
      <c r="E131" s="20">
        <v>0.2</v>
      </c>
      <c r="F131" s="18" t="str">
        <f>IF(Технологии!BH31="","",Технологии!BH31)</f>
        <v/>
      </c>
      <c r="G131" s="18" t="s">
        <v>468</v>
      </c>
      <c r="J131" s="21">
        <f>0</f>
        <v>0</v>
      </c>
      <c r="K131" s="21">
        <f>IF(Технологии!AR31="ИЗУЧЕНО",$E131,0)</f>
        <v>0</v>
      </c>
      <c r="L131" s="21">
        <f>IF(Технологии!AS31="ИЗУЧЕНО",$E131,0)</f>
        <v>0</v>
      </c>
      <c r="M131" s="21">
        <f>IF(Технологии!AT31="ИЗУЧЕНО",$E131,0)</f>
        <v>0</v>
      </c>
      <c r="N131" s="21">
        <f>IF(Технологии!AU31="ИЗУЧЕНО",$E131,0)</f>
        <v>0</v>
      </c>
      <c r="O131" s="21">
        <f>IF(Технологии!AV31="ИЗУЧЕНО",$E131,0)</f>
        <v>0</v>
      </c>
      <c r="P131" s="21">
        <f>IF(Технологии!AW31="ИЗУЧЕНО",$E131,0)</f>
        <v>0</v>
      </c>
      <c r="Q131" s="21">
        <f>IF(Технологии!AX31="ИЗУЧЕНО",$E131,0)</f>
        <v>0</v>
      </c>
      <c r="R131" s="21">
        <f>IF(Технологии!AY31="ИЗУЧЕНО",$E131,0)</f>
        <v>0</v>
      </c>
      <c r="S131" s="21">
        <f>IF(Технологии!AZ31="ИЗУЧЕНО",$E131,0)</f>
        <v>0</v>
      </c>
      <c r="T131" s="21">
        <f>IF(Технологии!BA31="ИЗУЧЕНО",$E131,0)</f>
        <v>0</v>
      </c>
      <c r="U131" s="21">
        <f>IF(Технологии!BB31="ИЗУЧЕНО",$E131,0)</f>
        <v>0</v>
      </c>
      <c r="V131" s="21">
        <f>IF(Технологии!BC31="ИЗУЧЕНО",$E131,0)</f>
        <v>0</v>
      </c>
      <c r="W131" s="21">
        <f>IF(Технологии!BD31="ИЗУЧЕНО",$E131,0)</f>
        <v>0</v>
      </c>
      <c r="X131" s="21">
        <f>IF(Технологии!BE31="ИЗУЧЕНО",$E131,0)</f>
        <v>0</v>
      </c>
      <c r="Y131" s="21">
        <f>IF(Технологии!BF31="ИЗУЧЕНО",$E131,0)</f>
        <v>0</v>
      </c>
    </row>
    <row r="132" spans="1:25">
      <c r="A132" s="19" t="s">
        <v>155</v>
      </c>
      <c r="B132" s="18" t="s">
        <v>156</v>
      </c>
      <c r="C132" s="18" t="s">
        <v>378</v>
      </c>
      <c r="D132" s="18" t="s">
        <v>405</v>
      </c>
      <c r="E132" s="20">
        <v>0.1</v>
      </c>
      <c r="F132" s="18" t="str">
        <f>IF(Технологии!BH31="","",Технологии!BH31)</f>
        <v/>
      </c>
      <c r="G132" s="18" t="s">
        <v>434</v>
      </c>
      <c r="J132" s="21">
        <f>0</f>
        <v>0</v>
      </c>
      <c r="K132" s="21">
        <f>IF(Технологии!AR31="ИЗУЧЕНО",$E132,0)</f>
        <v>0</v>
      </c>
      <c r="L132" s="21">
        <f>IF(Технологии!AS31="ИЗУЧЕНО",$E132,0)</f>
        <v>0</v>
      </c>
      <c r="M132" s="21">
        <f>IF(Технологии!AT31="ИЗУЧЕНО",$E132,0)</f>
        <v>0</v>
      </c>
      <c r="N132" s="21">
        <f>IF(Технологии!AU31="ИЗУЧЕНО",$E132,0)</f>
        <v>0</v>
      </c>
      <c r="O132" s="21">
        <f>IF(Технологии!AV31="ИЗУЧЕНО",$E132,0)</f>
        <v>0</v>
      </c>
      <c r="P132" s="21">
        <f>IF(Технологии!AW31="ИЗУЧЕНО",$E132,0)</f>
        <v>0</v>
      </c>
      <c r="Q132" s="21">
        <f>IF(Технологии!AX31="ИЗУЧЕНО",$E132,0)</f>
        <v>0</v>
      </c>
      <c r="R132" s="21">
        <f>IF(Технологии!AY31="ИЗУЧЕНО",$E132,0)</f>
        <v>0</v>
      </c>
      <c r="S132" s="21">
        <f>IF(Технологии!AZ31="ИЗУЧЕНО",$E132,0)</f>
        <v>0</v>
      </c>
      <c r="T132" s="21">
        <f>IF(Технологии!BA31="ИЗУЧЕНО",$E132,0)</f>
        <v>0</v>
      </c>
      <c r="U132" s="21">
        <f>IF(Технологии!BB31="ИЗУЧЕНО",$E132,0)</f>
        <v>0</v>
      </c>
      <c r="V132" s="21">
        <f>IF(Технологии!BC31="ИЗУЧЕНО",$E132,0)</f>
        <v>0</v>
      </c>
      <c r="W132" s="21">
        <f>IF(Технологии!BD31="ИЗУЧЕНО",$E132,0)</f>
        <v>0</v>
      </c>
      <c r="X132" s="21">
        <f>IF(Технологии!BE31="ИЗУЧЕНО",$E132,0)</f>
        <v>0</v>
      </c>
      <c r="Y132" s="21">
        <f>IF(Технологии!BF31="ИЗУЧЕНО",$E132,0)</f>
        <v>0</v>
      </c>
    </row>
    <row r="133" spans="1:25">
      <c r="A133" s="19" t="s">
        <v>155</v>
      </c>
      <c r="B133" s="18" t="s">
        <v>156</v>
      </c>
      <c r="C133" s="18" t="s">
        <v>294</v>
      </c>
      <c r="D133" s="18" t="s">
        <v>387</v>
      </c>
      <c r="E133" s="20">
        <v>-0.2</v>
      </c>
      <c r="F133" s="18" t="str">
        <f>IF(Технологии!BH31="","",Технологии!BH31)</f>
        <v/>
      </c>
      <c r="G133" s="18" t="s">
        <v>469</v>
      </c>
      <c r="J133" s="21">
        <f>0</f>
        <v>0</v>
      </c>
      <c r="K133" s="21">
        <f>IF(Технологии!AR31="ИЗУЧЕНО",$E133,0)</f>
        <v>0</v>
      </c>
      <c r="L133" s="21">
        <f>IF(Технологии!AS31="ИЗУЧЕНО",$E133,0)</f>
        <v>0</v>
      </c>
      <c r="M133" s="21">
        <f>IF(Технологии!AT31="ИЗУЧЕНО",$E133,0)</f>
        <v>0</v>
      </c>
      <c r="N133" s="21">
        <f>IF(Технологии!AU31="ИЗУЧЕНО",$E133,0)</f>
        <v>0</v>
      </c>
      <c r="O133" s="21">
        <f>IF(Технологии!AV31="ИЗУЧЕНО",$E133,0)</f>
        <v>0</v>
      </c>
      <c r="P133" s="21">
        <f>IF(Технологии!AW31="ИЗУЧЕНО",$E133,0)</f>
        <v>0</v>
      </c>
      <c r="Q133" s="21">
        <f>IF(Технологии!AX31="ИЗУЧЕНО",$E133,0)</f>
        <v>0</v>
      </c>
      <c r="R133" s="21">
        <f>IF(Технологии!AY31="ИЗУЧЕНО",$E133,0)</f>
        <v>0</v>
      </c>
      <c r="S133" s="21">
        <f>IF(Технологии!AZ31="ИЗУЧЕНО",$E133,0)</f>
        <v>0</v>
      </c>
      <c r="T133" s="21">
        <f>IF(Технологии!BA31="ИЗУЧЕНО",$E133,0)</f>
        <v>0</v>
      </c>
      <c r="U133" s="21">
        <f>IF(Технологии!BB31="ИЗУЧЕНО",$E133,0)</f>
        <v>0</v>
      </c>
      <c r="V133" s="21">
        <f>IF(Технологии!BC31="ИЗУЧЕНО",$E133,0)</f>
        <v>0</v>
      </c>
      <c r="W133" s="21">
        <f>IF(Технологии!BD31="ИЗУЧЕНО",$E133,0)</f>
        <v>0</v>
      </c>
      <c r="X133" s="21">
        <f>IF(Технологии!BE31="ИЗУЧЕНО",$E133,0)</f>
        <v>0</v>
      </c>
      <c r="Y133" s="21">
        <f>IF(Технологии!BF31="ИЗУЧЕНО",$E133,0)</f>
        <v>0</v>
      </c>
    </row>
    <row r="134" spans="1:25">
      <c r="A134" s="19" t="s">
        <v>159</v>
      </c>
      <c r="B134" s="18" t="s">
        <v>160</v>
      </c>
      <c r="C134" s="18" t="s">
        <v>302</v>
      </c>
      <c r="D134" s="18" t="s">
        <v>387</v>
      </c>
      <c r="E134" s="20">
        <v>0.4</v>
      </c>
      <c r="F134" s="18" t="str">
        <f>IF(Технологии!BH32="","",Технологии!BH32)</f>
        <v/>
      </c>
      <c r="G134" s="18" t="s">
        <v>470</v>
      </c>
      <c r="J134" s="21">
        <f>0</f>
        <v>0</v>
      </c>
      <c r="K134" s="21">
        <f>IF(Технологии!AR32="ИЗУЧЕНО",$E134,0)</f>
        <v>0</v>
      </c>
      <c r="L134" s="21">
        <f>IF(Технологии!AS32="ИЗУЧЕНО",$E134,0)</f>
        <v>0</v>
      </c>
      <c r="M134" s="21">
        <f>IF(Технологии!AT32="ИЗУЧЕНО",$E134,0)</f>
        <v>0</v>
      </c>
      <c r="N134" s="21">
        <f>IF(Технологии!AU32="ИЗУЧЕНО",$E134,0)</f>
        <v>0</v>
      </c>
      <c r="O134" s="21">
        <f>IF(Технологии!AV32="ИЗУЧЕНО",$E134,0)</f>
        <v>0</v>
      </c>
      <c r="P134" s="21">
        <f>IF(Технологии!AW32="ИЗУЧЕНО",$E134,0)</f>
        <v>0</v>
      </c>
      <c r="Q134" s="21">
        <f>IF(Технологии!AX32="ИЗУЧЕНО",$E134,0)</f>
        <v>0</v>
      </c>
      <c r="R134" s="21">
        <f>IF(Технологии!AY32="ИЗУЧЕНО",$E134,0)</f>
        <v>0</v>
      </c>
      <c r="S134" s="21">
        <f>IF(Технологии!AZ32="ИЗУЧЕНО",$E134,0)</f>
        <v>0</v>
      </c>
      <c r="T134" s="21">
        <f>IF(Технологии!BA32="ИЗУЧЕНО",$E134,0)</f>
        <v>0</v>
      </c>
      <c r="U134" s="21">
        <f>IF(Технологии!BB32="ИЗУЧЕНО",$E134,0)</f>
        <v>0</v>
      </c>
      <c r="V134" s="21">
        <f>IF(Технологии!BC32="ИЗУЧЕНО",$E134,0)</f>
        <v>0</v>
      </c>
      <c r="W134" s="21">
        <f>IF(Технологии!BD32="ИЗУЧЕНО",$E134,0)</f>
        <v>0</v>
      </c>
      <c r="X134" s="21">
        <f>IF(Технологии!BE32="ИЗУЧЕНО",$E134,0)</f>
        <v>0</v>
      </c>
      <c r="Y134" s="21">
        <f>IF(Технологии!BF32="ИЗУЧЕНО",$E134,0)</f>
        <v>0</v>
      </c>
    </row>
    <row r="135" spans="1:25">
      <c r="A135" s="19" t="s">
        <v>159</v>
      </c>
      <c r="B135" s="18" t="s">
        <v>160</v>
      </c>
      <c r="C135" s="18" t="s">
        <v>277</v>
      </c>
      <c r="D135" s="18" t="s">
        <v>414</v>
      </c>
      <c r="E135" s="20">
        <v>0.08</v>
      </c>
      <c r="F135" s="18" t="str">
        <f>IF(Технологии!BH32="","",Технологии!BH32)</f>
        <v/>
      </c>
      <c r="G135" s="18" t="s">
        <v>471</v>
      </c>
      <c r="J135" s="21">
        <f>0</f>
        <v>0</v>
      </c>
      <c r="K135" s="21">
        <f>IF(Технологии!AR32="ИЗУЧЕНО",$E135,0)</f>
        <v>0</v>
      </c>
      <c r="L135" s="21">
        <f>IF(Технологии!AS32="ИЗУЧЕНО",$E135,0)</f>
        <v>0</v>
      </c>
      <c r="M135" s="21">
        <f>IF(Технологии!AT32="ИЗУЧЕНО",$E135,0)</f>
        <v>0</v>
      </c>
      <c r="N135" s="21">
        <f>IF(Технологии!AU32="ИЗУЧЕНО",$E135,0)</f>
        <v>0</v>
      </c>
      <c r="O135" s="21">
        <f>IF(Технологии!AV32="ИЗУЧЕНО",$E135,0)</f>
        <v>0</v>
      </c>
      <c r="P135" s="21">
        <f>IF(Технологии!AW32="ИЗУЧЕНО",$E135,0)</f>
        <v>0</v>
      </c>
      <c r="Q135" s="21">
        <f>IF(Технологии!AX32="ИЗУЧЕНО",$E135,0)</f>
        <v>0</v>
      </c>
      <c r="R135" s="21">
        <f>IF(Технологии!AY32="ИЗУЧЕНО",$E135,0)</f>
        <v>0</v>
      </c>
      <c r="S135" s="21">
        <f>IF(Технологии!AZ32="ИЗУЧЕНО",$E135,0)</f>
        <v>0</v>
      </c>
      <c r="T135" s="21">
        <f>IF(Технологии!BA32="ИЗУЧЕНО",$E135,0)</f>
        <v>0</v>
      </c>
      <c r="U135" s="21">
        <f>IF(Технологии!BB32="ИЗУЧЕНО",$E135,0)</f>
        <v>0</v>
      </c>
      <c r="V135" s="21">
        <f>IF(Технологии!BC32="ИЗУЧЕНО",$E135,0)</f>
        <v>0</v>
      </c>
      <c r="W135" s="21">
        <f>IF(Технологии!BD32="ИЗУЧЕНО",$E135,0)</f>
        <v>0</v>
      </c>
      <c r="X135" s="21">
        <f>IF(Технологии!BE32="ИЗУЧЕНО",$E135,0)</f>
        <v>0</v>
      </c>
      <c r="Y135" s="21">
        <f>IF(Технологии!BF32="ИЗУЧЕНО",$E135,0)</f>
        <v>0</v>
      </c>
    </row>
    <row r="136" spans="1:25">
      <c r="A136" s="19" t="s">
        <v>159</v>
      </c>
      <c r="B136" s="18" t="s">
        <v>160</v>
      </c>
      <c r="C136" s="18" t="s">
        <v>299</v>
      </c>
      <c r="D136" s="18" t="s">
        <v>387</v>
      </c>
      <c r="E136" s="20">
        <v>0.2</v>
      </c>
      <c r="F136" s="18" t="str">
        <f>IF(Технологии!BH32="","",Технологии!BH32)</f>
        <v/>
      </c>
      <c r="G136" s="18" t="s">
        <v>466</v>
      </c>
      <c r="J136" s="21">
        <f>0</f>
        <v>0</v>
      </c>
      <c r="K136" s="21">
        <f>IF(Технологии!AR32="ИЗУЧЕНО",$E136,0)</f>
        <v>0</v>
      </c>
      <c r="L136" s="21">
        <f>IF(Технологии!AS32="ИЗУЧЕНО",$E136,0)</f>
        <v>0</v>
      </c>
      <c r="M136" s="21">
        <f>IF(Технологии!AT32="ИЗУЧЕНО",$E136,0)</f>
        <v>0</v>
      </c>
      <c r="N136" s="21">
        <f>IF(Технологии!AU32="ИЗУЧЕНО",$E136,0)</f>
        <v>0</v>
      </c>
      <c r="O136" s="21">
        <f>IF(Технологии!AV32="ИЗУЧЕНО",$E136,0)</f>
        <v>0</v>
      </c>
      <c r="P136" s="21">
        <f>IF(Технологии!AW32="ИЗУЧЕНО",$E136,0)</f>
        <v>0</v>
      </c>
      <c r="Q136" s="21">
        <f>IF(Технологии!AX32="ИЗУЧЕНО",$E136,0)</f>
        <v>0</v>
      </c>
      <c r="R136" s="21">
        <f>IF(Технологии!AY32="ИЗУЧЕНО",$E136,0)</f>
        <v>0</v>
      </c>
      <c r="S136" s="21">
        <f>IF(Технологии!AZ32="ИЗУЧЕНО",$E136,0)</f>
        <v>0</v>
      </c>
      <c r="T136" s="21">
        <f>IF(Технологии!BA32="ИЗУЧЕНО",$E136,0)</f>
        <v>0</v>
      </c>
      <c r="U136" s="21">
        <f>IF(Технологии!BB32="ИЗУЧЕНО",$E136,0)</f>
        <v>0</v>
      </c>
      <c r="V136" s="21">
        <f>IF(Технологии!BC32="ИЗУЧЕНО",$E136,0)</f>
        <v>0</v>
      </c>
      <c r="W136" s="21">
        <f>IF(Технологии!BD32="ИЗУЧЕНО",$E136,0)</f>
        <v>0</v>
      </c>
      <c r="X136" s="21">
        <f>IF(Технологии!BE32="ИЗУЧЕНО",$E136,0)</f>
        <v>0</v>
      </c>
      <c r="Y136" s="21">
        <f>IF(Технологии!BF32="ИЗУЧЕНО",$E136,0)</f>
        <v>0</v>
      </c>
    </row>
    <row r="137" spans="1:25">
      <c r="A137" s="19" t="s">
        <v>159</v>
      </c>
      <c r="B137" s="18" t="s">
        <v>160</v>
      </c>
      <c r="C137" s="18" t="s">
        <v>281</v>
      </c>
      <c r="D137" s="18" t="s">
        <v>414</v>
      </c>
      <c r="E137" s="20">
        <v>0.05</v>
      </c>
      <c r="F137" s="18" t="str">
        <f>IF(Технологии!BH32="","",Технологии!BH32)</f>
        <v/>
      </c>
      <c r="G137" s="18" t="s">
        <v>463</v>
      </c>
      <c r="J137" s="21">
        <f>0</f>
        <v>0</v>
      </c>
      <c r="K137" s="21">
        <f>IF(Технологии!AR32="ИЗУЧЕНО",$E137,0)</f>
        <v>0</v>
      </c>
      <c r="L137" s="21">
        <f>IF(Технологии!AS32="ИЗУЧЕНО",$E137,0)</f>
        <v>0</v>
      </c>
      <c r="M137" s="21">
        <f>IF(Технологии!AT32="ИЗУЧЕНО",$E137,0)</f>
        <v>0</v>
      </c>
      <c r="N137" s="21">
        <f>IF(Технологии!AU32="ИЗУЧЕНО",$E137,0)</f>
        <v>0</v>
      </c>
      <c r="O137" s="21">
        <f>IF(Технологии!AV32="ИЗУЧЕНО",$E137,0)</f>
        <v>0</v>
      </c>
      <c r="P137" s="21">
        <f>IF(Технологии!AW32="ИЗУЧЕНО",$E137,0)</f>
        <v>0</v>
      </c>
      <c r="Q137" s="21">
        <f>IF(Технологии!AX32="ИЗУЧЕНО",$E137,0)</f>
        <v>0</v>
      </c>
      <c r="R137" s="21">
        <f>IF(Технологии!AY32="ИЗУЧЕНО",$E137,0)</f>
        <v>0</v>
      </c>
      <c r="S137" s="21">
        <f>IF(Технологии!AZ32="ИЗУЧЕНО",$E137,0)</f>
        <v>0</v>
      </c>
      <c r="T137" s="21">
        <f>IF(Технологии!BA32="ИЗУЧЕНО",$E137,0)</f>
        <v>0</v>
      </c>
      <c r="U137" s="21">
        <f>IF(Технологии!BB32="ИЗУЧЕНО",$E137,0)</f>
        <v>0</v>
      </c>
      <c r="V137" s="21">
        <f>IF(Технологии!BC32="ИЗУЧЕНО",$E137,0)</f>
        <v>0</v>
      </c>
      <c r="W137" s="21">
        <f>IF(Технологии!BD32="ИЗУЧЕНО",$E137,0)</f>
        <v>0</v>
      </c>
      <c r="X137" s="21">
        <f>IF(Технологии!BE32="ИЗУЧЕНО",$E137,0)</f>
        <v>0</v>
      </c>
      <c r="Y137" s="21">
        <f>IF(Технологии!BF32="ИЗУЧЕНО",$E137,0)</f>
        <v>0</v>
      </c>
    </row>
    <row r="138" spans="1:25">
      <c r="A138" s="19" t="s">
        <v>159</v>
      </c>
      <c r="B138" s="18" t="s">
        <v>160</v>
      </c>
      <c r="C138" s="18" t="s">
        <v>311</v>
      </c>
      <c r="D138" s="18" t="s">
        <v>387</v>
      </c>
      <c r="E138" s="20">
        <v>-0.15</v>
      </c>
      <c r="F138" s="18" t="str">
        <f>IF(Технологии!BH32="","",Технологии!BH32)</f>
        <v/>
      </c>
      <c r="G138" s="18" t="s">
        <v>436</v>
      </c>
      <c r="J138" s="21">
        <f>0</f>
        <v>0</v>
      </c>
      <c r="K138" s="21">
        <f>IF(Технологии!AR32="ИЗУЧЕНО",$E138,0)</f>
        <v>0</v>
      </c>
      <c r="L138" s="21">
        <f>IF(Технологии!AS32="ИЗУЧЕНО",$E138,0)</f>
        <v>0</v>
      </c>
      <c r="M138" s="21">
        <f>IF(Технологии!AT32="ИЗУЧЕНО",$E138,0)</f>
        <v>0</v>
      </c>
      <c r="N138" s="21">
        <f>IF(Технологии!AU32="ИЗУЧЕНО",$E138,0)</f>
        <v>0</v>
      </c>
      <c r="O138" s="21">
        <f>IF(Технологии!AV32="ИЗУЧЕНО",$E138,0)</f>
        <v>0</v>
      </c>
      <c r="P138" s="21">
        <f>IF(Технологии!AW32="ИЗУЧЕНО",$E138,0)</f>
        <v>0</v>
      </c>
      <c r="Q138" s="21">
        <f>IF(Технологии!AX32="ИЗУЧЕНО",$E138,0)</f>
        <v>0</v>
      </c>
      <c r="R138" s="21">
        <f>IF(Технологии!AY32="ИЗУЧЕНО",$E138,0)</f>
        <v>0</v>
      </c>
      <c r="S138" s="21">
        <f>IF(Технологии!AZ32="ИЗУЧЕНО",$E138,0)</f>
        <v>0</v>
      </c>
      <c r="T138" s="21">
        <f>IF(Технологии!BA32="ИЗУЧЕНО",$E138,0)</f>
        <v>0</v>
      </c>
      <c r="U138" s="21">
        <f>IF(Технологии!BB32="ИЗУЧЕНО",$E138,0)</f>
        <v>0</v>
      </c>
      <c r="V138" s="21">
        <f>IF(Технологии!BC32="ИЗУЧЕНО",$E138,0)</f>
        <v>0</v>
      </c>
      <c r="W138" s="21">
        <f>IF(Технологии!BD32="ИЗУЧЕНО",$E138,0)</f>
        <v>0</v>
      </c>
      <c r="X138" s="21">
        <f>IF(Технологии!BE32="ИЗУЧЕНО",$E138,0)</f>
        <v>0</v>
      </c>
      <c r="Y138" s="21">
        <f>IF(Технологии!BF32="ИЗУЧЕНО",$E138,0)</f>
        <v>0</v>
      </c>
    </row>
    <row r="139" spans="1:25">
      <c r="A139" s="19" t="s">
        <v>159</v>
      </c>
      <c r="B139" s="18" t="s">
        <v>160</v>
      </c>
      <c r="C139" s="18" t="s">
        <v>312</v>
      </c>
      <c r="D139" s="18" t="s">
        <v>387</v>
      </c>
      <c r="E139" s="20">
        <v>-0.15</v>
      </c>
      <c r="F139" s="18" t="str">
        <f>IF(Технологии!BH32="","",Технологии!BH32)</f>
        <v/>
      </c>
      <c r="G139" s="18" t="s">
        <v>472</v>
      </c>
      <c r="J139" s="21">
        <f>0</f>
        <v>0</v>
      </c>
      <c r="K139" s="21">
        <f>IF(Технологии!AR32="ИЗУЧЕНО",$E139,0)</f>
        <v>0</v>
      </c>
      <c r="L139" s="21">
        <f>IF(Технологии!AS32="ИЗУЧЕНО",$E139,0)</f>
        <v>0</v>
      </c>
      <c r="M139" s="21">
        <f>IF(Технологии!AT32="ИЗУЧЕНО",$E139,0)</f>
        <v>0</v>
      </c>
      <c r="N139" s="21">
        <f>IF(Технологии!AU32="ИЗУЧЕНО",$E139,0)</f>
        <v>0</v>
      </c>
      <c r="O139" s="21">
        <f>IF(Технологии!AV32="ИЗУЧЕНО",$E139,0)</f>
        <v>0</v>
      </c>
      <c r="P139" s="21">
        <f>IF(Технологии!AW32="ИЗУЧЕНО",$E139,0)</f>
        <v>0</v>
      </c>
      <c r="Q139" s="21">
        <f>IF(Технологии!AX32="ИЗУЧЕНО",$E139,0)</f>
        <v>0</v>
      </c>
      <c r="R139" s="21">
        <f>IF(Технологии!AY32="ИЗУЧЕНО",$E139,0)</f>
        <v>0</v>
      </c>
      <c r="S139" s="21">
        <f>IF(Технологии!AZ32="ИЗУЧЕНО",$E139,0)</f>
        <v>0</v>
      </c>
      <c r="T139" s="21">
        <f>IF(Технологии!BA32="ИЗУЧЕНО",$E139,0)</f>
        <v>0</v>
      </c>
      <c r="U139" s="21">
        <f>IF(Технологии!BB32="ИЗУЧЕНО",$E139,0)</f>
        <v>0</v>
      </c>
      <c r="V139" s="21">
        <f>IF(Технологии!BC32="ИЗУЧЕНО",$E139,0)</f>
        <v>0</v>
      </c>
      <c r="W139" s="21">
        <f>IF(Технологии!BD32="ИЗУЧЕНО",$E139,0)</f>
        <v>0</v>
      </c>
      <c r="X139" s="21">
        <f>IF(Технологии!BE32="ИЗУЧЕНО",$E139,0)</f>
        <v>0</v>
      </c>
      <c r="Y139" s="21">
        <f>IF(Технологии!BF32="ИЗУЧЕНО",$E139,0)</f>
        <v>0</v>
      </c>
    </row>
    <row r="140" spans="1:25">
      <c r="A140" s="19" t="s">
        <v>163</v>
      </c>
      <c r="B140" s="18" t="s">
        <v>164</v>
      </c>
      <c r="C140" s="18" t="s">
        <v>279</v>
      </c>
      <c r="D140" s="18" t="s">
        <v>414</v>
      </c>
      <c r="E140" s="20">
        <v>0.12</v>
      </c>
      <c r="F140" s="18" t="str">
        <f>IF(Технологии!BH33="","",Технологии!BH33)</f>
        <v/>
      </c>
      <c r="G140" s="18" t="s">
        <v>473</v>
      </c>
      <c r="J140" s="21">
        <f>0</f>
        <v>0</v>
      </c>
      <c r="K140" s="21">
        <f>IF(Технологии!AR33="ИЗУЧЕНО",$E140,0)</f>
        <v>0</v>
      </c>
      <c r="L140" s="21">
        <f>IF(Технологии!AS33="ИЗУЧЕНО",$E140,0)</f>
        <v>0</v>
      </c>
      <c r="M140" s="21">
        <f>IF(Технологии!AT33="ИЗУЧЕНО",$E140,0)</f>
        <v>0</v>
      </c>
      <c r="N140" s="21">
        <f>IF(Технологии!AU33="ИЗУЧЕНО",$E140,0)</f>
        <v>0</v>
      </c>
      <c r="O140" s="21">
        <f>IF(Технологии!AV33="ИЗУЧЕНО",$E140,0)</f>
        <v>0</v>
      </c>
      <c r="P140" s="21">
        <f>IF(Технологии!AW33="ИЗУЧЕНО",$E140,0)</f>
        <v>0</v>
      </c>
      <c r="Q140" s="21">
        <f>IF(Технологии!AX33="ИЗУЧЕНО",$E140,0)</f>
        <v>0</v>
      </c>
      <c r="R140" s="21">
        <f>IF(Технологии!AY33="ИЗУЧЕНО",$E140,0)</f>
        <v>0</v>
      </c>
      <c r="S140" s="21">
        <f>IF(Технологии!AZ33="ИЗУЧЕНО",$E140,0)</f>
        <v>0</v>
      </c>
      <c r="T140" s="21">
        <f>IF(Технологии!BA33="ИЗУЧЕНО",$E140,0)</f>
        <v>0</v>
      </c>
      <c r="U140" s="21">
        <f>IF(Технологии!BB33="ИЗУЧЕНО",$E140,0)</f>
        <v>0</v>
      </c>
      <c r="V140" s="21">
        <f>IF(Технологии!BC33="ИЗУЧЕНО",$E140,0)</f>
        <v>0</v>
      </c>
      <c r="W140" s="21">
        <f>IF(Технологии!BD33="ИЗУЧЕНО",$E140,0)</f>
        <v>0</v>
      </c>
      <c r="X140" s="21">
        <f>IF(Технологии!BE33="ИЗУЧЕНО",$E140,0)</f>
        <v>0</v>
      </c>
      <c r="Y140" s="21">
        <f>IF(Технологии!BF33="ИЗУЧЕНО",$E140,0)</f>
        <v>0</v>
      </c>
    </row>
    <row r="141" spans="1:25">
      <c r="A141" s="19" t="s">
        <v>163</v>
      </c>
      <c r="B141" s="18" t="s">
        <v>164</v>
      </c>
      <c r="C141" s="18" t="s">
        <v>269</v>
      </c>
      <c r="D141" s="18" t="s">
        <v>414</v>
      </c>
      <c r="E141" s="20">
        <v>0.08</v>
      </c>
      <c r="F141" s="18" t="str">
        <f>IF(Технологии!BH33="","",Технологии!BH33)</f>
        <v/>
      </c>
      <c r="G141" s="18" t="s">
        <v>467</v>
      </c>
      <c r="J141" s="21">
        <f>0</f>
        <v>0</v>
      </c>
      <c r="K141" s="21">
        <f>IF(Технологии!AR33="ИЗУЧЕНО",$E141,0)</f>
        <v>0</v>
      </c>
      <c r="L141" s="21">
        <f>IF(Технологии!AS33="ИЗУЧЕНО",$E141,0)</f>
        <v>0</v>
      </c>
      <c r="M141" s="21">
        <f>IF(Технологии!AT33="ИЗУЧЕНО",$E141,0)</f>
        <v>0</v>
      </c>
      <c r="N141" s="21">
        <f>IF(Технологии!AU33="ИЗУЧЕНО",$E141,0)</f>
        <v>0</v>
      </c>
      <c r="O141" s="21">
        <f>IF(Технологии!AV33="ИЗУЧЕНО",$E141,0)</f>
        <v>0</v>
      </c>
      <c r="P141" s="21">
        <f>IF(Технологии!AW33="ИЗУЧЕНО",$E141,0)</f>
        <v>0</v>
      </c>
      <c r="Q141" s="21">
        <f>IF(Технологии!AX33="ИЗУЧЕНО",$E141,0)</f>
        <v>0</v>
      </c>
      <c r="R141" s="21">
        <f>IF(Технологии!AY33="ИЗУЧЕНО",$E141,0)</f>
        <v>0</v>
      </c>
      <c r="S141" s="21">
        <f>IF(Технологии!AZ33="ИЗУЧЕНО",$E141,0)</f>
        <v>0</v>
      </c>
      <c r="T141" s="21">
        <f>IF(Технологии!BA33="ИЗУЧЕНО",$E141,0)</f>
        <v>0</v>
      </c>
      <c r="U141" s="21">
        <f>IF(Технологии!BB33="ИЗУЧЕНО",$E141,0)</f>
        <v>0</v>
      </c>
      <c r="V141" s="21">
        <f>IF(Технологии!BC33="ИЗУЧЕНО",$E141,0)</f>
        <v>0</v>
      </c>
      <c r="W141" s="21">
        <f>IF(Технологии!BD33="ИЗУЧЕНО",$E141,0)</f>
        <v>0</v>
      </c>
      <c r="X141" s="21">
        <f>IF(Технологии!BE33="ИЗУЧЕНО",$E141,0)</f>
        <v>0</v>
      </c>
      <c r="Y141" s="21">
        <f>IF(Технологии!BF33="ИЗУЧЕНО",$E141,0)</f>
        <v>0</v>
      </c>
    </row>
    <row r="142" spans="1:25">
      <c r="A142" s="19" t="s">
        <v>163</v>
      </c>
      <c r="B142" s="18" t="s">
        <v>164</v>
      </c>
      <c r="C142" s="18" t="s">
        <v>314</v>
      </c>
      <c r="D142" s="18" t="s">
        <v>387</v>
      </c>
      <c r="E142" s="20">
        <v>0.3</v>
      </c>
      <c r="F142" s="18" t="str">
        <f>IF(Технологии!BH33="","",Технологии!BH33)</f>
        <v/>
      </c>
      <c r="G142" s="18" t="s">
        <v>474</v>
      </c>
      <c r="J142" s="21">
        <f>0</f>
        <v>0</v>
      </c>
      <c r="K142" s="21">
        <f>IF(Технологии!AR33="ИЗУЧЕНО",$E142,0)</f>
        <v>0</v>
      </c>
      <c r="L142" s="21">
        <f>IF(Технологии!AS33="ИЗУЧЕНО",$E142,0)</f>
        <v>0</v>
      </c>
      <c r="M142" s="21">
        <f>IF(Технологии!AT33="ИЗУЧЕНО",$E142,0)</f>
        <v>0</v>
      </c>
      <c r="N142" s="21">
        <f>IF(Технологии!AU33="ИЗУЧЕНО",$E142,0)</f>
        <v>0</v>
      </c>
      <c r="O142" s="21">
        <f>IF(Технологии!AV33="ИЗУЧЕНО",$E142,0)</f>
        <v>0</v>
      </c>
      <c r="P142" s="21">
        <f>IF(Технологии!AW33="ИЗУЧЕНО",$E142,0)</f>
        <v>0</v>
      </c>
      <c r="Q142" s="21">
        <f>IF(Технологии!AX33="ИЗУЧЕНО",$E142,0)</f>
        <v>0</v>
      </c>
      <c r="R142" s="21">
        <f>IF(Технологии!AY33="ИЗУЧЕНО",$E142,0)</f>
        <v>0</v>
      </c>
      <c r="S142" s="21">
        <f>IF(Технологии!AZ33="ИЗУЧЕНО",$E142,0)</f>
        <v>0</v>
      </c>
      <c r="T142" s="21">
        <f>IF(Технологии!BA33="ИЗУЧЕНО",$E142,0)</f>
        <v>0</v>
      </c>
      <c r="U142" s="21">
        <f>IF(Технологии!BB33="ИЗУЧЕНО",$E142,0)</f>
        <v>0</v>
      </c>
      <c r="V142" s="21">
        <f>IF(Технологии!BC33="ИЗУЧЕНО",$E142,0)</f>
        <v>0</v>
      </c>
      <c r="W142" s="21">
        <f>IF(Технологии!BD33="ИЗУЧЕНО",$E142,0)</f>
        <v>0</v>
      </c>
      <c r="X142" s="21">
        <f>IF(Технологии!BE33="ИЗУЧЕНО",$E142,0)</f>
        <v>0</v>
      </c>
      <c r="Y142" s="21">
        <f>IF(Технологии!BF33="ИЗУЧЕНО",$E142,0)</f>
        <v>0</v>
      </c>
    </row>
    <row r="143" spans="1:25">
      <c r="A143" s="19" t="s">
        <v>163</v>
      </c>
      <c r="B143" s="18" t="s">
        <v>164</v>
      </c>
      <c r="C143" s="18" t="s">
        <v>293</v>
      </c>
      <c r="D143" s="18" t="s">
        <v>387</v>
      </c>
      <c r="E143" s="20">
        <v>0.2</v>
      </c>
      <c r="F143" s="18" t="str">
        <f>IF(Технологии!BH33="","",Технологии!BH33)</f>
        <v/>
      </c>
      <c r="G143" s="18" t="s">
        <v>449</v>
      </c>
      <c r="J143" s="21">
        <f>0</f>
        <v>0</v>
      </c>
      <c r="K143" s="21">
        <f>IF(Технологии!AR33="ИЗУЧЕНО",$E143,0)</f>
        <v>0</v>
      </c>
      <c r="L143" s="21">
        <f>IF(Технологии!AS33="ИЗУЧЕНО",$E143,0)</f>
        <v>0</v>
      </c>
      <c r="M143" s="21">
        <f>IF(Технологии!AT33="ИЗУЧЕНО",$E143,0)</f>
        <v>0</v>
      </c>
      <c r="N143" s="21">
        <f>IF(Технологии!AU33="ИЗУЧЕНО",$E143,0)</f>
        <v>0</v>
      </c>
      <c r="O143" s="21">
        <f>IF(Технологии!AV33="ИЗУЧЕНО",$E143,0)</f>
        <v>0</v>
      </c>
      <c r="P143" s="21">
        <f>IF(Технологии!AW33="ИЗУЧЕНО",$E143,0)</f>
        <v>0</v>
      </c>
      <c r="Q143" s="21">
        <f>IF(Технологии!AX33="ИЗУЧЕНО",$E143,0)</f>
        <v>0</v>
      </c>
      <c r="R143" s="21">
        <f>IF(Технологии!AY33="ИЗУЧЕНО",$E143,0)</f>
        <v>0</v>
      </c>
      <c r="S143" s="21">
        <f>IF(Технологии!AZ33="ИЗУЧЕНО",$E143,0)</f>
        <v>0</v>
      </c>
      <c r="T143" s="21">
        <f>IF(Технологии!BA33="ИЗУЧЕНО",$E143,0)</f>
        <v>0</v>
      </c>
      <c r="U143" s="21">
        <f>IF(Технологии!BB33="ИЗУЧЕНО",$E143,0)</f>
        <v>0</v>
      </c>
      <c r="V143" s="21">
        <f>IF(Технологии!BC33="ИЗУЧЕНО",$E143,0)</f>
        <v>0</v>
      </c>
      <c r="W143" s="21">
        <f>IF(Технологии!BD33="ИЗУЧЕНО",$E143,0)</f>
        <v>0</v>
      </c>
      <c r="X143" s="21">
        <f>IF(Технологии!BE33="ИЗУЧЕНО",$E143,0)</f>
        <v>0</v>
      </c>
      <c r="Y143" s="21">
        <f>IF(Технологии!BF33="ИЗУЧЕНО",$E143,0)</f>
        <v>0</v>
      </c>
    </row>
    <row r="144" spans="1:25">
      <c r="A144" s="19" t="s">
        <v>163</v>
      </c>
      <c r="B144" s="18" t="s">
        <v>164</v>
      </c>
      <c r="C144" s="18" t="s">
        <v>375</v>
      </c>
      <c r="D144" s="18" t="s">
        <v>405</v>
      </c>
      <c r="E144" s="20">
        <v>0.1</v>
      </c>
      <c r="F144" s="18" t="str">
        <f>IF(Технологии!BH33="","",Технологии!BH33)</f>
        <v/>
      </c>
      <c r="G144" s="18" t="s">
        <v>475</v>
      </c>
      <c r="J144" s="21">
        <f>0</f>
        <v>0</v>
      </c>
      <c r="K144" s="21">
        <f>IF(Технологии!AR33="ИЗУЧЕНО",$E144,0)</f>
        <v>0</v>
      </c>
      <c r="L144" s="21">
        <f>IF(Технологии!AS33="ИЗУЧЕНО",$E144,0)</f>
        <v>0</v>
      </c>
      <c r="M144" s="21">
        <f>IF(Технологии!AT33="ИЗУЧЕНО",$E144,0)</f>
        <v>0</v>
      </c>
      <c r="N144" s="21">
        <f>IF(Технологии!AU33="ИЗУЧЕНО",$E144,0)</f>
        <v>0</v>
      </c>
      <c r="O144" s="21">
        <f>IF(Технологии!AV33="ИЗУЧЕНО",$E144,0)</f>
        <v>0</v>
      </c>
      <c r="P144" s="21">
        <f>IF(Технологии!AW33="ИЗУЧЕНО",$E144,0)</f>
        <v>0</v>
      </c>
      <c r="Q144" s="21">
        <f>IF(Технологии!AX33="ИЗУЧЕНО",$E144,0)</f>
        <v>0</v>
      </c>
      <c r="R144" s="21">
        <f>IF(Технологии!AY33="ИЗУЧЕНО",$E144,0)</f>
        <v>0</v>
      </c>
      <c r="S144" s="21">
        <f>IF(Технологии!AZ33="ИЗУЧЕНО",$E144,0)</f>
        <v>0</v>
      </c>
      <c r="T144" s="21">
        <f>IF(Технологии!BA33="ИЗУЧЕНО",$E144,0)</f>
        <v>0</v>
      </c>
      <c r="U144" s="21">
        <f>IF(Технологии!BB33="ИЗУЧЕНО",$E144,0)</f>
        <v>0</v>
      </c>
      <c r="V144" s="21">
        <f>IF(Технологии!BC33="ИЗУЧЕНО",$E144,0)</f>
        <v>0</v>
      </c>
      <c r="W144" s="21">
        <f>IF(Технологии!BD33="ИЗУЧЕНО",$E144,0)</f>
        <v>0</v>
      </c>
      <c r="X144" s="21">
        <f>IF(Технологии!BE33="ИЗУЧЕНО",$E144,0)</f>
        <v>0</v>
      </c>
      <c r="Y144" s="21">
        <f>IF(Технологии!BF33="ИЗУЧЕНО",$E144,0)</f>
        <v>0</v>
      </c>
    </row>
    <row r="145" spans="1:25">
      <c r="A145" s="19" t="s">
        <v>163</v>
      </c>
      <c r="B145" s="18" t="s">
        <v>164</v>
      </c>
      <c r="C145" s="18" t="s">
        <v>295</v>
      </c>
      <c r="D145" s="18" t="s">
        <v>387</v>
      </c>
      <c r="E145" s="20">
        <v>-0.25</v>
      </c>
      <c r="F145" s="18" t="str">
        <f>IF(Технологии!BH33="","",Технологии!BH33)</f>
        <v/>
      </c>
      <c r="G145" s="18" t="s">
        <v>476</v>
      </c>
      <c r="J145" s="21">
        <f>0</f>
        <v>0</v>
      </c>
      <c r="K145" s="21">
        <f>IF(Технологии!AR33="ИЗУЧЕНО",$E145,0)</f>
        <v>0</v>
      </c>
      <c r="L145" s="21">
        <f>IF(Технологии!AS33="ИЗУЧЕНО",$E145,0)</f>
        <v>0</v>
      </c>
      <c r="M145" s="21">
        <f>IF(Технологии!AT33="ИЗУЧЕНО",$E145,0)</f>
        <v>0</v>
      </c>
      <c r="N145" s="21">
        <f>IF(Технологии!AU33="ИЗУЧЕНО",$E145,0)</f>
        <v>0</v>
      </c>
      <c r="O145" s="21">
        <f>IF(Технологии!AV33="ИЗУЧЕНО",$E145,0)</f>
        <v>0</v>
      </c>
      <c r="P145" s="21">
        <f>IF(Технологии!AW33="ИЗУЧЕНО",$E145,0)</f>
        <v>0</v>
      </c>
      <c r="Q145" s="21">
        <f>IF(Технологии!AX33="ИЗУЧЕНО",$E145,0)</f>
        <v>0</v>
      </c>
      <c r="R145" s="21">
        <f>IF(Технологии!AY33="ИЗУЧЕНО",$E145,0)</f>
        <v>0</v>
      </c>
      <c r="S145" s="21">
        <f>IF(Технологии!AZ33="ИЗУЧЕНО",$E145,0)</f>
        <v>0</v>
      </c>
      <c r="T145" s="21">
        <f>IF(Технологии!BA33="ИЗУЧЕНО",$E145,0)</f>
        <v>0</v>
      </c>
      <c r="U145" s="21">
        <f>IF(Технологии!BB33="ИЗУЧЕНО",$E145,0)</f>
        <v>0</v>
      </c>
      <c r="V145" s="21">
        <f>IF(Технологии!BC33="ИЗУЧЕНО",$E145,0)</f>
        <v>0</v>
      </c>
      <c r="W145" s="21">
        <f>IF(Технологии!BD33="ИЗУЧЕНО",$E145,0)</f>
        <v>0</v>
      </c>
      <c r="X145" s="21">
        <f>IF(Технологии!BE33="ИЗУЧЕНО",$E145,0)</f>
        <v>0</v>
      </c>
      <c r="Y145" s="21">
        <f>IF(Технологии!BF33="ИЗУЧЕНО",$E145,0)</f>
        <v>0</v>
      </c>
    </row>
    <row r="146" spans="1:25">
      <c r="A146" s="19" t="s">
        <v>163</v>
      </c>
      <c r="B146" s="18" t="s">
        <v>164</v>
      </c>
      <c r="C146" s="18" t="s">
        <v>294</v>
      </c>
      <c r="D146" s="18" t="s">
        <v>387</v>
      </c>
      <c r="E146" s="20">
        <v>-0.2</v>
      </c>
      <c r="F146" s="18" t="str">
        <f>IF(Технологии!BH33="","",Технологии!BH33)</f>
        <v/>
      </c>
      <c r="G146" s="18" t="s">
        <v>469</v>
      </c>
      <c r="J146" s="21">
        <f>0</f>
        <v>0</v>
      </c>
      <c r="K146" s="21">
        <f>IF(Технологии!AR33="ИЗУЧЕНО",$E146,0)</f>
        <v>0</v>
      </c>
      <c r="L146" s="21">
        <f>IF(Технологии!AS33="ИЗУЧЕНО",$E146,0)</f>
        <v>0</v>
      </c>
      <c r="M146" s="21">
        <f>IF(Технологии!AT33="ИЗУЧЕНО",$E146,0)</f>
        <v>0</v>
      </c>
      <c r="N146" s="21">
        <f>IF(Технологии!AU33="ИЗУЧЕНО",$E146,0)</f>
        <v>0</v>
      </c>
      <c r="O146" s="21">
        <f>IF(Технологии!AV33="ИЗУЧЕНО",$E146,0)</f>
        <v>0</v>
      </c>
      <c r="P146" s="21">
        <f>IF(Технологии!AW33="ИЗУЧЕНО",$E146,0)</f>
        <v>0</v>
      </c>
      <c r="Q146" s="21">
        <f>IF(Технологии!AX33="ИЗУЧЕНО",$E146,0)</f>
        <v>0</v>
      </c>
      <c r="R146" s="21">
        <f>IF(Технологии!AY33="ИЗУЧЕНО",$E146,0)</f>
        <v>0</v>
      </c>
      <c r="S146" s="21">
        <f>IF(Технологии!AZ33="ИЗУЧЕНО",$E146,0)</f>
        <v>0</v>
      </c>
      <c r="T146" s="21">
        <f>IF(Технологии!BA33="ИЗУЧЕНО",$E146,0)</f>
        <v>0</v>
      </c>
      <c r="U146" s="21">
        <f>IF(Технологии!BB33="ИЗУЧЕНО",$E146,0)</f>
        <v>0</v>
      </c>
      <c r="V146" s="21">
        <f>IF(Технологии!BC33="ИЗУЧЕНО",$E146,0)</f>
        <v>0</v>
      </c>
      <c r="W146" s="21">
        <f>IF(Технологии!BD33="ИЗУЧЕНО",$E146,0)</f>
        <v>0</v>
      </c>
      <c r="X146" s="21">
        <f>IF(Технологии!BE33="ИЗУЧЕНО",$E146,0)</f>
        <v>0</v>
      </c>
      <c r="Y146" s="21">
        <f>IF(Технологии!BF33="ИЗУЧЕНО",$E146,0)</f>
        <v>0</v>
      </c>
    </row>
    <row r="147" spans="1:25">
      <c r="A147" s="19" t="s">
        <v>163</v>
      </c>
      <c r="B147" s="18" t="s">
        <v>164</v>
      </c>
      <c r="C147" s="18" t="s">
        <v>311</v>
      </c>
      <c r="D147" s="18" t="s">
        <v>387</v>
      </c>
      <c r="E147" s="20">
        <v>-0.15</v>
      </c>
      <c r="F147" s="18" t="str">
        <f>IF(Технологии!BH33="","",Технологии!BH33)</f>
        <v/>
      </c>
      <c r="G147" s="18" t="s">
        <v>436</v>
      </c>
      <c r="J147" s="21">
        <f>0</f>
        <v>0</v>
      </c>
      <c r="K147" s="21">
        <f>IF(Технологии!AR33="ИЗУЧЕНО",$E147,0)</f>
        <v>0</v>
      </c>
      <c r="L147" s="21">
        <f>IF(Технологии!AS33="ИЗУЧЕНО",$E147,0)</f>
        <v>0</v>
      </c>
      <c r="M147" s="21">
        <f>IF(Технологии!AT33="ИЗУЧЕНО",$E147,0)</f>
        <v>0</v>
      </c>
      <c r="N147" s="21">
        <f>IF(Технологии!AU33="ИЗУЧЕНО",$E147,0)</f>
        <v>0</v>
      </c>
      <c r="O147" s="21">
        <f>IF(Технологии!AV33="ИЗУЧЕНО",$E147,0)</f>
        <v>0</v>
      </c>
      <c r="P147" s="21">
        <f>IF(Технологии!AW33="ИЗУЧЕНО",$E147,0)</f>
        <v>0</v>
      </c>
      <c r="Q147" s="21">
        <f>IF(Технологии!AX33="ИЗУЧЕНО",$E147,0)</f>
        <v>0</v>
      </c>
      <c r="R147" s="21">
        <f>IF(Технологии!AY33="ИЗУЧЕНО",$E147,0)</f>
        <v>0</v>
      </c>
      <c r="S147" s="21">
        <f>IF(Технологии!AZ33="ИЗУЧЕНО",$E147,0)</f>
        <v>0</v>
      </c>
      <c r="T147" s="21">
        <f>IF(Технологии!BA33="ИЗУЧЕНО",$E147,0)</f>
        <v>0</v>
      </c>
      <c r="U147" s="21">
        <f>IF(Технологии!BB33="ИЗУЧЕНО",$E147,0)</f>
        <v>0</v>
      </c>
      <c r="V147" s="21">
        <f>IF(Технологии!BC33="ИЗУЧЕНО",$E147,0)</f>
        <v>0</v>
      </c>
      <c r="W147" s="21">
        <f>IF(Технологии!BD33="ИЗУЧЕНО",$E147,0)</f>
        <v>0</v>
      </c>
      <c r="X147" s="21">
        <f>IF(Технологии!BE33="ИЗУЧЕНО",$E147,0)</f>
        <v>0</v>
      </c>
      <c r="Y147" s="21">
        <f>IF(Технологии!BF33="ИЗУЧЕНО",$E147,0)</f>
        <v>0</v>
      </c>
    </row>
    <row r="148" spans="1:25">
      <c r="A148" s="19" t="s">
        <v>167</v>
      </c>
      <c r="B148" s="18" t="s">
        <v>168</v>
      </c>
      <c r="C148" s="18" t="s">
        <v>269</v>
      </c>
      <c r="D148" s="18" t="s">
        <v>387</v>
      </c>
      <c r="E148" s="20">
        <v>0.4</v>
      </c>
      <c r="F148" s="18" t="str">
        <f>IF(Технологии!BH34="","",Технологии!BH34)</f>
        <v/>
      </c>
      <c r="G148" s="18" t="s">
        <v>477</v>
      </c>
      <c r="J148" s="21">
        <f>0</f>
        <v>0</v>
      </c>
      <c r="K148" s="21">
        <f>IF(Технологии!AR34="ИЗУЧЕНО",$E148,0)</f>
        <v>0</v>
      </c>
      <c r="L148" s="21">
        <f>IF(Технологии!AS34="ИЗУЧЕНО",$E148,0)</f>
        <v>0</v>
      </c>
      <c r="M148" s="21">
        <f>IF(Технологии!AT34="ИЗУЧЕНО",$E148,0)</f>
        <v>0</v>
      </c>
      <c r="N148" s="21">
        <f>IF(Технологии!AU34="ИЗУЧЕНО",$E148,0)</f>
        <v>0</v>
      </c>
      <c r="O148" s="21">
        <f>IF(Технологии!AV34="ИЗУЧЕНО",$E148,0)</f>
        <v>0</v>
      </c>
      <c r="P148" s="21">
        <f>IF(Технологии!AW34="ИЗУЧЕНО",$E148,0)</f>
        <v>0</v>
      </c>
      <c r="Q148" s="21">
        <f>IF(Технологии!AX34="ИЗУЧЕНО",$E148,0)</f>
        <v>0</v>
      </c>
      <c r="R148" s="21">
        <f>IF(Технологии!AY34="ИЗУЧЕНО",$E148,0)</f>
        <v>0</v>
      </c>
      <c r="S148" s="21">
        <f>IF(Технологии!AZ34="ИЗУЧЕНО",$E148,0)</f>
        <v>0</v>
      </c>
      <c r="T148" s="21">
        <f>IF(Технологии!BA34="ИЗУЧЕНО",$E148,0)</f>
        <v>0</v>
      </c>
      <c r="U148" s="21">
        <f>IF(Технологии!BB34="ИЗУЧЕНО",$E148,0)</f>
        <v>0</v>
      </c>
      <c r="V148" s="21">
        <f>IF(Технологии!BC34="ИЗУЧЕНО",$E148,0)</f>
        <v>0</v>
      </c>
      <c r="W148" s="21">
        <f>IF(Технологии!BD34="ИЗУЧЕНО",$E148,0)</f>
        <v>0</v>
      </c>
      <c r="X148" s="21">
        <f>IF(Технологии!BE34="ИЗУЧЕНО",$E148,0)</f>
        <v>0</v>
      </c>
      <c r="Y148" s="21">
        <f>IF(Технологии!BF34="ИЗУЧЕНО",$E148,0)</f>
        <v>0</v>
      </c>
    </row>
    <row r="149" spans="1:25">
      <c r="A149" s="19" t="s">
        <v>167</v>
      </c>
      <c r="B149" s="18" t="s">
        <v>168</v>
      </c>
      <c r="C149" s="18" t="s">
        <v>279</v>
      </c>
      <c r="D149" s="18" t="s">
        <v>387</v>
      </c>
      <c r="E149" s="20">
        <v>0.3</v>
      </c>
      <c r="F149" s="18" t="str">
        <f>IF(Технологии!BH34="","",Технологии!BH34)</f>
        <v/>
      </c>
      <c r="G149" s="18" t="s">
        <v>478</v>
      </c>
      <c r="J149" s="21">
        <f>0</f>
        <v>0</v>
      </c>
      <c r="K149" s="21">
        <f>IF(Технологии!AR34="ИЗУЧЕНО",$E149,0)</f>
        <v>0</v>
      </c>
      <c r="L149" s="21">
        <f>IF(Технологии!AS34="ИЗУЧЕНО",$E149,0)</f>
        <v>0</v>
      </c>
      <c r="M149" s="21">
        <f>IF(Технологии!AT34="ИЗУЧЕНО",$E149,0)</f>
        <v>0</v>
      </c>
      <c r="N149" s="21">
        <f>IF(Технологии!AU34="ИЗУЧЕНО",$E149,0)</f>
        <v>0</v>
      </c>
      <c r="O149" s="21">
        <f>IF(Технологии!AV34="ИЗУЧЕНО",$E149,0)</f>
        <v>0</v>
      </c>
      <c r="P149" s="21">
        <f>IF(Технологии!AW34="ИЗУЧЕНО",$E149,0)</f>
        <v>0</v>
      </c>
      <c r="Q149" s="21">
        <f>IF(Технологии!AX34="ИЗУЧЕНО",$E149,0)</f>
        <v>0</v>
      </c>
      <c r="R149" s="21">
        <f>IF(Технологии!AY34="ИЗУЧЕНО",$E149,0)</f>
        <v>0</v>
      </c>
      <c r="S149" s="21">
        <f>IF(Технологии!AZ34="ИЗУЧЕНО",$E149,0)</f>
        <v>0</v>
      </c>
      <c r="T149" s="21">
        <f>IF(Технологии!BA34="ИЗУЧЕНО",$E149,0)</f>
        <v>0</v>
      </c>
      <c r="U149" s="21">
        <f>IF(Технологии!BB34="ИЗУЧЕНО",$E149,0)</f>
        <v>0</v>
      </c>
      <c r="V149" s="21">
        <f>IF(Технологии!BC34="ИЗУЧЕНО",$E149,0)</f>
        <v>0</v>
      </c>
      <c r="W149" s="21">
        <f>IF(Технологии!BD34="ИЗУЧЕНО",$E149,0)</f>
        <v>0</v>
      </c>
      <c r="X149" s="21">
        <f>IF(Технологии!BE34="ИЗУЧЕНО",$E149,0)</f>
        <v>0</v>
      </c>
      <c r="Y149" s="21">
        <f>IF(Технологии!BF34="ИЗУЧЕНО",$E149,0)</f>
        <v>0</v>
      </c>
    </row>
    <row r="150" spans="1:25">
      <c r="A150" s="19" t="s">
        <v>167</v>
      </c>
      <c r="B150" s="18" t="s">
        <v>168</v>
      </c>
      <c r="C150" s="18" t="s">
        <v>271</v>
      </c>
      <c r="D150" s="18" t="s">
        <v>387</v>
      </c>
      <c r="E150" s="20">
        <v>0.25</v>
      </c>
      <c r="F150" s="18" t="str">
        <f>IF(Технологии!BH34="","",Технологии!BH34)</f>
        <v/>
      </c>
      <c r="G150" s="18" t="s">
        <v>479</v>
      </c>
      <c r="J150" s="21">
        <f>0</f>
        <v>0</v>
      </c>
      <c r="K150" s="21">
        <f>IF(Технологии!AR34="ИЗУЧЕНО",$E150,0)</f>
        <v>0</v>
      </c>
      <c r="L150" s="21">
        <f>IF(Технологии!AS34="ИЗУЧЕНО",$E150,0)</f>
        <v>0</v>
      </c>
      <c r="M150" s="21">
        <f>IF(Технологии!AT34="ИЗУЧЕНО",$E150,0)</f>
        <v>0</v>
      </c>
      <c r="N150" s="21">
        <f>IF(Технологии!AU34="ИЗУЧЕНО",$E150,0)</f>
        <v>0</v>
      </c>
      <c r="O150" s="21">
        <f>IF(Технологии!AV34="ИЗУЧЕНО",$E150,0)</f>
        <v>0</v>
      </c>
      <c r="P150" s="21">
        <f>IF(Технологии!AW34="ИЗУЧЕНО",$E150,0)</f>
        <v>0</v>
      </c>
      <c r="Q150" s="21">
        <f>IF(Технологии!AX34="ИЗУЧЕНО",$E150,0)</f>
        <v>0</v>
      </c>
      <c r="R150" s="21">
        <f>IF(Технологии!AY34="ИЗУЧЕНО",$E150,0)</f>
        <v>0</v>
      </c>
      <c r="S150" s="21">
        <f>IF(Технологии!AZ34="ИЗУЧЕНО",$E150,0)</f>
        <v>0</v>
      </c>
      <c r="T150" s="21">
        <f>IF(Технологии!BA34="ИЗУЧЕНО",$E150,0)</f>
        <v>0</v>
      </c>
      <c r="U150" s="21">
        <f>IF(Технологии!BB34="ИЗУЧЕНО",$E150,0)</f>
        <v>0</v>
      </c>
      <c r="V150" s="21">
        <f>IF(Технологии!BC34="ИЗУЧЕНО",$E150,0)</f>
        <v>0</v>
      </c>
      <c r="W150" s="21">
        <f>IF(Технологии!BD34="ИЗУЧЕНО",$E150,0)</f>
        <v>0</v>
      </c>
      <c r="X150" s="21">
        <f>IF(Технологии!BE34="ИЗУЧЕНО",$E150,0)</f>
        <v>0</v>
      </c>
      <c r="Y150" s="21">
        <f>IF(Технологии!BF34="ИЗУЧЕНО",$E150,0)</f>
        <v>0</v>
      </c>
    </row>
    <row r="151" spans="1:25">
      <c r="A151" s="19" t="s">
        <v>167</v>
      </c>
      <c r="B151" s="18" t="s">
        <v>168</v>
      </c>
      <c r="C151" s="18" t="s">
        <v>277</v>
      </c>
      <c r="D151" s="18" t="s">
        <v>414</v>
      </c>
      <c r="E151" s="20">
        <v>0.1</v>
      </c>
      <c r="F151" s="18" t="str">
        <f>IF(Технологии!BH34="","",Технологии!BH34)</f>
        <v/>
      </c>
      <c r="G151" s="18" t="s">
        <v>480</v>
      </c>
      <c r="J151" s="21">
        <f>0</f>
        <v>0</v>
      </c>
      <c r="K151" s="21">
        <f>IF(Технологии!AR34="ИЗУЧЕНО",$E151,0)</f>
        <v>0</v>
      </c>
      <c r="L151" s="21">
        <f>IF(Технологии!AS34="ИЗУЧЕНО",$E151,0)</f>
        <v>0</v>
      </c>
      <c r="M151" s="21">
        <f>IF(Технологии!AT34="ИЗУЧЕНО",$E151,0)</f>
        <v>0</v>
      </c>
      <c r="N151" s="21">
        <f>IF(Технологии!AU34="ИЗУЧЕНО",$E151,0)</f>
        <v>0</v>
      </c>
      <c r="O151" s="21">
        <f>IF(Технологии!AV34="ИЗУЧЕНО",$E151,0)</f>
        <v>0</v>
      </c>
      <c r="P151" s="21">
        <f>IF(Технологии!AW34="ИЗУЧЕНО",$E151,0)</f>
        <v>0</v>
      </c>
      <c r="Q151" s="21">
        <f>IF(Технологии!AX34="ИЗУЧЕНО",$E151,0)</f>
        <v>0</v>
      </c>
      <c r="R151" s="21">
        <f>IF(Технологии!AY34="ИЗУЧЕНО",$E151,0)</f>
        <v>0</v>
      </c>
      <c r="S151" s="21">
        <f>IF(Технологии!AZ34="ИЗУЧЕНО",$E151,0)</f>
        <v>0</v>
      </c>
      <c r="T151" s="21">
        <f>IF(Технологии!BA34="ИЗУЧЕНО",$E151,0)</f>
        <v>0</v>
      </c>
      <c r="U151" s="21">
        <f>IF(Технологии!BB34="ИЗУЧЕНО",$E151,0)</f>
        <v>0</v>
      </c>
      <c r="V151" s="21">
        <f>IF(Технологии!BC34="ИЗУЧЕНО",$E151,0)</f>
        <v>0</v>
      </c>
      <c r="W151" s="21">
        <f>IF(Технологии!BD34="ИЗУЧЕНО",$E151,0)</f>
        <v>0</v>
      </c>
      <c r="X151" s="21">
        <f>IF(Технологии!BE34="ИЗУЧЕНО",$E151,0)</f>
        <v>0</v>
      </c>
      <c r="Y151" s="21">
        <f>IF(Технологии!BF34="ИЗУЧЕНО",$E151,0)</f>
        <v>0</v>
      </c>
    </row>
    <row r="152" spans="1:25">
      <c r="A152" s="19" t="s">
        <v>167</v>
      </c>
      <c r="B152" s="18" t="s">
        <v>168</v>
      </c>
      <c r="C152" s="18" t="s">
        <v>378</v>
      </c>
      <c r="D152" s="18" t="s">
        <v>405</v>
      </c>
      <c r="E152" s="20">
        <v>0.15</v>
      </c>
      <c r="F152" s="18" t="str">
        <f>IF(Технологии!BH34="","",Технологии!BH34)</f>
        <v/>
      </c>
      <c r="G152" s="18" t="s">
        <v>481</v>
      </c>
      <c r="J152" s="21">
        <f>0</f>
        <v>0</v>
      </c>
      <c r="K152" s="21">
        <f>IF(Технологии!AR34="ИЗУЧЕНО",$E152,0)</f>
        <v>0</v>
      </c>
      <c r="L152" s="21">
        <f>IF(Технологии!AS34="ИЗУЧЕНО",$E152,0)</f>
        <v>0</v>
      </c>
      <c r="M152" s="21">
        <f>IF(Технологии!AT34="ИЗУЧЕНО",$E152,0)</f>
        <v>0</v>
      </c>
      <c r="N152" s="21">
        <f>IF(Технологии!AU34="ИЗУЧЕНО",$E152,0)</f>
        <v>0</v>
      </c>
      <c r="O152" s="21">
        <f>IF(Технологии!AV34="ИЗУЧЕНО",$E152,0)</f>
        <v>0</v>
      </c>
      <c r="P152" s="21">
        <f>IF(Технологии!AW34="ИЗУЧЕНО",$E152,0)</f>
        <v>0</v>
      </c>
      <c r="Q152" s="21">
        <f>IF(Технологии!AX34="ИЗУЧЕНО",$E152,0)</f>
        <v>0</v>
      </c>
      <c r="R152" s="21">
        <f>IF(Технологии!AY34="ИЗУЧЕНО",$E152,0)</f>
        <v>0</v>
      </c>
      <c r="S152" s="21">
        <f>IF(Технологии!AZ34="ИЗУЧЕНО",$E152,0)</f>
        <v>0</v>
      </c>
      <c r="T152" s="21">
        <f>IF(Технологии!BA34="ИЗУЧЕНО",$E152,0)</f>
        <v>0</v>
      </c>
      <c r="U152" s="21">
        <f>IF(Технологии!BB34="ИЗУЧЕНО",$E152,0)</f>
        <v>0</v>
      </c>
      <c r="V152" s="21">
        <f>IF(Технологии!BC34="ИЗУЧЕНО",$E152,0)</f>
        <v>0</v>
      </c>
      <c r="W152" s="21">
        <f>IF(Технологии!BD34="ИЗУЧЕНО",$E152,0)</f>
        <v>0</v>
      </c>
      <c r="X152" s="21">
        <f>IF(Технологии!BE34="ИЗУЧЕНО",$E152,0)</f>
        <v>0</v>
      </c>
      <c r="Y152" s="21">
        <f>IF(Технологии!BF34="ИЗУЧЕНО",$E152,0)</f>
        <v>0</v>
      </c>
    </row>
    <row r="153" spans="1:25">
      <c r="A153" s="19" t="s">
        <v>167</v>
      </c>
      <c r="B153" s="18" t="s">
        <v>168</v>
      </c>
      <c r="C153" s="18" t="s">
        <v>379</v>
      </c>
      <c r="D153" s="18" t="s">
        <v>405</v>
      </c>
      <c r="E153" s="20">
        <v>0.15</v>
      </c>
      <c r="F153" s="18" t="str">
        <f>IF(Технологии!BH34="","",Технологии!BH34)</f>
        <v/>
      </c>
      <c r="G153" s="18" t="s">
        <v>482</v>
      </c>
      <c r="J153" s="21">
        <f>0</f>
        <v>0</v>
      </c>
      <c r="K153" s="21">
        <f>IF(Технологии!AR34="ИЗУЧЕНО",$E153,0)</f>
        <v>0</v>
      </c>
      <c r="L153" s="21">
        <f>IF(Технологии!AS34="ИЗУЧЕНО",$E153,0)</f>
        <v>0</v>
      </c>
      <c r="M153" s="21">
        <f>IF(Технологии!AT34="ИЗУЧЕНО",$E153,0)</f>
        <v>0</v>
      </c>
      <c r="N153" s="21">
        <f>IF(Технологии!AU34="ИЗУЧЕНО",$E153,0)</f>
        <v>0</v>
      </c>
      <c r="O153" s="21">
        <f>IF(Технологии!AV34="ИЗУЧЕНО",$E153,0)</f>
        <v>0</v>
      </c>
      <c r="P153" s="21">
        <f>IF(Технологии!AW34="ИЗУЧЕНО",$E153,0)</f>
        <v>0</v>
      </c>
      <c r="Q153" s="21">
        <f>IF(Технологии!AX34="ИЗУЧЕНО",$E153,0)</f>
        <v>0</v>
      </c>
      <c r="R153" s="21">
        <f>IF(Технологии!AY34="ИЗУЧЕНО",$E153,0)</f>
        <v>0</v>
      </c>
      <c r="S153" s="21">
        <f>IF(Технологии!AZ34="ИЗУЧЕНО",$E153,0)</f>
        <v>0</v>
      </c>
      <c r="T153" s="21">
        <f>IF(Технологии!BA34="ИЗУЧЕНО",$E153,0)</f>
        <v>0</v>
      </c>
      <c r="U153" s="21">
        <f>IF(Технологии!BB34="ИЗУЧЕНО",$E153,0)</f>
        <v>0</v>
      </c>
      <c r="V153" s="21">
        <f>IF(Технологии!BC34="ИЗУЧЕНО",$E153,0)</f>
        <v>0</v>
      </c>
      <c r="W153" s="21">
        <f>IF(Технологии!BD34="ИЗУЧЕНО",$E153,0)</f>
        <v>0</v>
      </c>
      <c r="X153" s="21">
        <f>IF(Технологии!BE34="ИЗУЧЕНО",$E153,0)</f>
        <v>0</v>
      </c>
      <c r="Y153" s="21">
        <f>IF(Технологии!BF34="ИЗУЧЕНО",$E153,0)</f>
        <v>0</v>
      </c>
    </row>
    <row r="154" spans="1:25">
      <c r="A154" s="19" t="s">
        <v>167</v>
      </c>
      <c r="B154" s="18" t="s">
        <v>168</v>
      </c>
      <c r="C154" s="18" t="s">
        <v>295</v>
      </c>
      <c r="D154" s="18" t="s">
        <v>387</v>
      </c>
      <c r="E154" s="20">
        <v>-0.3</v>
      </c>
      <c r="F154" s="18" t="str">
        <f>IF(Технологии!BH34="","",Технологии!BH34)</f>
        <v/>
      </c>
      <c r="G154" s="18" t="s">
        <v>483</v>
      </c>
      <c r="J154" s="21">
        <f>0</f>
        <v>0</v>
      </c>
      <c r="K154" s="21">
        <f>IF(Технологии!AR34="ИЗУЧЕНО",$E154,0)</f>
        <v>0</v>
      </c>
      <c r="L154" s="21">
        <f>IF(Технологии!AS34="ИЗУЧЕНО",$E154,0)</f>
        <v>0</v>
      </c>
      <c r="M154" s="21">
        <f>IF(Технологии!AT34="ИЗУЧЕНО",$E154,0)</f>
        <v>0</v>
      </c>
      <c r="N154" s="21">
        <f>IF(Технологии!AU34="ИЗУЧЕНО",$E154,0)</f>
        <v>0</v>
      </c>
      <c r="O154" s="21">
        <f>IF(Технологии!AV34="ИЗУЧЕНО",$E154,0)</f>
        <v>0</v>
      </c>
      <c r="P154" s="21">
        <f>IF(Технологии!AW34="ИЗУЧЕНО",$E154,0)</f>
        <v>0</v>
      </c>
      <c r="Q154" s="21">
        <f>IF(Технологии!AX34="ИЗУЧЕНО",$E154,0)</f>
        <v>0</v>
      </c>
      <c r="R154" s="21">
        <f>IF(Технологии!AY34="ИЗУЧЕНО",$E154,0)</f>
        <v>0</v>
      </c>
      <c r="S154" s="21">
        <f>IF(Технологии!AZ34="ИЗУЧЕНО",$E154,0)</f>
        <v>0</v>
      </c>
      <c r="T154" s="21">
        <f>IF(Технологии!BA34="ИЗУЧЕНО",$E154,0)</f>
        <v>0</v>
      </c>
      <c r="U154" s="21">
        <f>IF(Технологии!BB34="ИЗУЧЕНО",$E154,0)</f>
        <v>0</v>
      </c>
      <c r="V154" s="21">
        <f>IF(Технологии!BC34="ИЗУЧЕНО",$E154,0)</f>
        <v>0</v>
      </c>
      <c r="W154" s="21">
        <f>IF(Технологии!BD34="ИЗУЧЕНО",$E154,0)</f>
        <v>0</v>
      </c>
      <c r="X154" s="21">
        <f>IF(Технологии!BE34="ИЗУЧЕНО",$E154,0)</f>
        <v>0</v>
      </c>
      <c r="Y154" s="21">
        <f>IF(Технологии!BF34="ИЗУЧЕНО",$E154,0)</f>
        <v>0</v>
      </c>
    </row>
    <row r="155" spans="1:25">
      <c r="A155" s="19" t="s">
        <v>167</v>
      </c>
      <c r="B155" s="18" t="s">
        <v>168</v>
      </c>
      <c r="C155" s="18" t="s">
        <v>294</v>
      </c>
      <c r="D155" s="18" t="s">
        <v>387</v>
      </c>
      <c r="E155" s="20">
        <v>-0.25</v>
      </c>
      <c r="F155" s="18" t="str">
        <f>IF(Технологии!BH34="","",Технологии!BH34)</f>
        <v/>
      </c>
      <c r="G155" s="18" t="s">
        <v>484</v>
      </c>
      <c r="J155" s="21">
        <f>0</f>
        <v>0</v>
      </c>
      <c r="K155" s="21">
        <f>IF(Технологии!AR34="ИЗУЧЕНО",$E155,0)</f>
        <v>0</v>
      </c>
      <c r="L155" s="21">
        <f>IF(Технологии!AS34="ИЗУЧЕНО",$E155,0)</f>
        <v>0</v>
      </c>
      <c r="M155" s="21">
        <f>IF(Технологии!AT34="ИЗУЧЕНО",$E155,0)</f>
        <v>0</v>
      </c>
      <c r="N155" s="21">
        <f>IF(Технологии!AU34="ИЗУЧЕНО",$E155,0)</f>
        <v>0</v>
      </c>
      <c r="O155" s="21">
        <f>IF(Технологии!AV34="ИЗУЧЕНО",$E155,0)</f>
        <v>0</v>
      </c>
      <c r="P155" s="21">
        <f>IF(Технологии!AW34="ИЗУЧЕНО",$E155,0)</f>
        <v>0</v>
      </c>
      <c r="Q155" s="21">
        <f>IF(Технологии!AX34="ИЗУЧЕНО",$E155,0)</f>
        <v>0</v>
      </c>
      <c r="R155" s="21">
        <f>IF(Технологии!AY34="ИЗУЧЕНО",$E155,0)</f>
        <v>0</v>
      </c>
      <c r="S155" s="21">
        <f>IF(Технологии!AZ34="ИЗУЧЕНО",$E155,0)</f>
        <v>0</v>
      </c>
      <c r="T155" s="21">
        <f>IF(Технологии!BA34="ИЗУЧЕНО",$E155,0)</f>
        <v>0</v>
      </c>
      <c r="U155" s="21">
        <f>IF(Технологии!BB34="ИЗУЧЕНО",$E155,0)</f>
        <v>0</v>
      </c>
      <c r="V155" s="21">
        <f>IF(Технологии!BC34="ИЗУЧЕНО",$E155,0)</f>
        <v>0</v>
      </c>
      <c r="W155" s="21">
        <f>IF(Технологии!BD34="ИЗУЧЕНО",$E155,0)</f>
        <v>0</v>
      </c>
      <c r="X155" s="21">
        <f>IF(Технологии!BE34="ИЗУЧЕНО",$E155,0)</f>
        <v>0</v>
      </c>
      <c r="Y155" s="21">
        <f>IF(Технологии!BF34="ИЗУЧЕНО",$E155,0)</f>
        <v>0</v>
      </c>
    </row>
    <row r="156" spans="1:25">
      <c r="A156" s="19" t="s">
        <v>167</v>
      </c>
      <c r="B156" s="18" t="s">
        <v>168</v>
      </c>
      <c r="C156" s="18" t="s">
        <v>311</v>
      </c>
      <c r="D156" s="18" t="s">
        <v>387</v>
      </c>
      <c r="E156" s="20">
        <v>-0.2</v>
      </c>
      <c r="F156" s="18" t="str">
        <f>IF(Технологии!BH34="","",Технологии!BH34)</f>
        <v/>
      </c>
      <c r="G156" s="18" t="s">
        <v>443</v>
      </c>
      <c r="J156" s="21">
        <f>0</f>
        <v>0</v>
      </c>
      <c r="K156" s="21">
        <f>IF(Технологии!AR34="ИЗУЧЕНО",$E156,0)</f>
        <v>0</v>
      </c>
      <c r="L156" s="21">
        <f>IF(Технологии!AS34="ИЗУЧЕНО",$E156,0)</f>
        <v>0</v>
      </c>
      <c r="M156" s="21">
        <f>IF(Технологии!AT34="ИЗУЧЕНО",$E156,0)</f>
        <v>0</v>
      </c>
      <c r="N156" s="21">
        <f>IF(Технологии!AU34="ИЗУЧЕНО",$E156,0)</f>
        <v>0</v>
      </c>
      <c r="O156" s="21">
        <f>IF(Технологии!AV34="ИЗУЧЕНО",$E156,0)</f>
        <v>0</v>
      </c>
      <c r="P156" s="21">
        <f>IF(Технологии!AW34="ИЗУЧЕНО",$E156,0)</f>
        <v>0</v>
      </c>
      <c r="Q156" s="21">
        <f>IF(Технологии!AX34="ИЗУЧЕНО",$E156,0)</f>
        <v>0</v>
      </c>
      <c r="R156" s="21">
        <f>IF(Технологии!AY34="ИЗУЧЕНО",$E156,0)</f>
        <v>0</v>
      </c>
      <c r="S156" s="21">
        <f>IF(Технологии!AZ34="ИЗУЧЕНО",$E156,0)</f>
        <v>0</v>
      </c>
      <c r="T156" s="21">
        <f>IF(Технологии!BA34="ИЗУЧЕНО",$E156,0)</f>
        <v>0</v>
      </c>
      <c r="U156" s="21">
        <f>IF(Технологии!BB34="ИЗУЧЕНО",$E156,0)</f>
        <v>0</v>
      </c>
      <c r="V156" s="21">
        <f>IF(Технологии!BC34="ИЗУЧЕНО",$E156,0)</f>
        <v>0</v>
      </c>
      <c r="W156" s="21">
        <f>IF(Технологии!BD34="ИЗУЧЕНО",$E156,0)</f>
        <v>0</v>
      </c>
      <c r="X156" s="21">
        <f>IF(Технологии!BE34="ИЗУЧЕНО",$E156,0)</f>
        <v>0</v>
      </c>
      <c r="Y156" s="21">
        <f>IF(Технологии!BF34="ИЗУЧЕНО",$E156,0)</f>
        <v>0</v>
      </c>
    </row>
    <row r="157" spans="1:25">
      <c r="A157" s="19" t="s">
        <v>167</v>
      </c>
      <c r="B157" s="18" t="s">
        <v>168</v>
      </c>
      <c r="C157" s="18" t="s">
        <v>302</v>
      </c>
      <c r="D157" s="18" t="s">
        <v>387</v>
      </c>
      <c r="E157" s="20">
        <v>-0.15</v>
      </c>
      <c r="F157" s="18" t="str">
        <f>IF(Технологии!BH34="","",Технологии!BH34)</f>
        <v/>
      </c>
      <c r="G157" s="18" t="s">
        <v>485</v>
      </c>
      <c r="J157" s="21">
        <f>0</f>
        <v>0</v>
      </c>
      <c r="K157" s="21">
        <f>IF(Технологии!AR34="ИЗУЧЕНО",$E157,0)</f>
        <v>0</v>
      </c>
      <c r="L157" s="21">
        <f>IF(Технологии!AS34="ИЗУЧЕНО",$E157,0)</f>
        <v>0</v>
      </c>
      <c r="M157" s="21">
        <f>IF(Технологии!AT34="ИЗУЧЕНО",$E157,0)</f>
        <v>0</v>
      </c>
      <c r="N157" s="21">
        <f>IF(Технологии!AU34="ИЗУЧЕНО",$E157,0)</f>
        <v>0</v>
      </c>
      <c r="O157" s="21">
        <f>IF(Технологии!AV34="ИЗУЧЕНО",$E157,0)</f>
        <v>0</v>
      </c>
      <c r="P157" s="21">
        <f>IF(Технологии!AW34="ИЗУЧЕНО",$E157,0)</f>
        <v>0</v>
      </c>
      <c r="Q157" s="21">
        <f>IF(Технологии!AX34="ИЗУЧЕНО",$E157,0)</f>
        <v>0</v>
      </c>
      <c r="R157" s="21">
        <f>IF(Технологии!AY34="ИЗУЧЕНО",$E157,0)</f>
        <v>0</v>
      </c>
      <c r="S157" s="21">
        <f>IF(Технологии!AZ34="ИЗУЧЕНО",$E157,0)</f>
        <v>0</v>
      </c>
      <c r="T157" s="21">
        <f>IF(Технологии!BA34="ИЗУЧЕНО",$E157,0)</f>
        <v>0</v>
      </c>
      <c r="U157" s="21">
        <f>IF(Технологии!BB34="ИЗУЧЕНО",$E157,0)</f>
        <v>0</v>
      </c>
      <c r="V157" s="21">
        <f>IF(Технологии!BC34="ИЗУЧЕНО",$E157,0)</f>
        <v>0</v>
      </c>
      <c r="W157" s="21">
        <f>IF(Технологии!BD34="ИЗУЧЕНО",$E157,0)</f>
        <v>0</v>
      </c>
      <c r="X157" s="21">
        <f>IF(Технологии!BE34="ИЗУЧЕНО",$E157,0)</f>
        <v>0</v>
      </c>
      <c r="Y157" s="21">
        <f>IF(Технологии!BF34="ИЗУЧЕНО",$E157,0)</f>
        <v>0</v>
      </c>
    </row>
    <row r="158" spans="1:25">
      <c r="A158" s="19" t="s">
        <v>171</v>
      </c>
      <c r="B158" s="18" t="s">
        <v>173</v>
      </c>
      <c r="C158" s="18" t="s">
        <v>299</v>
      </c>
      <c r="D158" s="18" t="s">
        <v>387</v>
      </c>
      <c r="E158" s="20">
        <v>0.2</v>
      </c>
      <c r="F158" s="18" t="str">
        <f>IF(Технологии!BH35="","",Технологии!BH35)</f>
        <v/>
      </c>
      <c r="G158" s="18" t="s">
        <v>466</v>
      </c>
      <c r="J158" s="21">
        <f>0</f>
        <v>0</v>
      </c>
      <c r="K158" s="21">
        <f>IF(Технологии!AR35="ИЗУЧЕНО",$E158,0)</f>
        <v>0</v>
      </c>
      <c r="L158" s="21">
        <f>IF(Технологии!AS35="ИЗУЧЕНО",$E158,0)</f>
        <v>0</v>
      </c>
      <c r="M158" s="21">
        <f>IF(Технологии!AT35="ИЗУЧЕНО",$E158,0)</f>
        <v>0</v>
      </c>
      <c r="N158" s="21">
        <f>IF(Технологии!AU35="ИЗУЧЕНО",$E158,0)</f>
        <v>0</v>
      </c>
      <c r="O158" s="21">
        <f>IF(Технологии!AV35="ИЗУЧЕНО",$E158,0)</f>
        <v>0</v>
      </c>
      <c r="P158" s="21">
        <f>IF(Технологии!AW35="ИЗУЧЕНО",$E158,0)</f>
        <v>0</v>
      </c>
      <c r="Q158" s="21">
        <f>IF(Технологии!AX35="ИЗУЧЕНО",$E158,0)</f>
        <v>0</v>
      </c>
      <c r="R158" s="21">
        <f>IF(Технологии!AY35="ИЗУЧЕНО",$E158,0)</f>
        <v>0</v>
      </c>
      <c r="S158" s="21">
        <f>IF(Технологии!AZ35="ИЗУЧЕНО",$E158,0)</f>
        <v>0</v>
      </c>
      <c r="T158" s="21">
        <f>IF(Технологии!BA35="ИЗУЧЕНО",$E158,0)</f>
        <v>0</v>
      </c>
      <c r="U158" s="21">
        <f>IF(Технологии!BB35="ИЗУЧЕНО",$E158,0)</f>
        <v>0</v>
      </c>
      <c r="V158" s="21">
        <f>IF(Технологии!BC35="ИЗУЧЕНО",$E158,0)</f>
        <v>0</v>
      </c>
      <c r="W158" s="21">
        <f>IF(Технологии!BD35="ИЗУЧЕНО",$E158,0)</f>
        <v>0</v>
      </c>
      <c r="X158" s="21">
        <f>IF(Технологии!BE35="ИЗУЧЕНО",$E158,0)</f>
        <v>0</v>
      </c>
      <c r="Y158" s="21">
        <f>IF(Технологии!BF35="ИЗУЧЕНО",$E158,0)</f>
        <v>0</v>
      </c>
    </row>
    <row r="159" spans="1:25">
      <c r="A159" s="19" t="s">
        <v>176</v>
      </c>
      <c r="B159" s="18" t="s">
        <v>177</v>
      </c>
      <c r="C159" s="18" t="s">
        <v>267</v>
      </c>
      <c r="D159" s="18" t="s">
        <v>387</v>
      </c>
      <c r="E159" s="20">
        <v>0.3</v>
      </c>
      <c r="F159" s="18" t="str">
        <f>IF(Технологии!BH36="","",Технологии!BH36)</f>
        <v/>
      </c>
      <c r="G159" s="18" t="s">
        <v>486</v>
      </c>
      <c r="J159" s="21">
        <f>0</f>
        <v>0</v>
      </c>
      <c r="K159" s="21">
        <f>IF(Технологии!AR36="ИЗУЧЕНО",$E159,0)</f>
        <v>0</v>
      </c>
      <c r="L159" s="21">
        <f>IF(Технологии!AS36="ИЗУЧЕНО",$E159,0)</f>
        <v>0</v>
      </c>
      <c r="M159" s="21">
        <f>IF(Технологии!AT36="ИЗУЧЕНО",$E159,0)</f>
        <v>0</v>
      </c>
      <c r="N159" s="21">
        <f>IF(Технологии!AU36="ИЗУЧЕНО",$E159,0)</f>
        <v>0</v>
      </c>
      <c r="O159" s="21">
        <f>IF(Технологии!AV36="ИЗУЧЕНО",$E159,0)</f>
        <v>0</v>
      </c>
      <c r="P159" s="21">
        <f>IF(Технологии!AW36="ИЗУЧЕНО",$E159,0)</f>
        <v>0</v>
      </c>
      <c r="Q159" s="21">
        <f>IF(Технологии!AX36="ИЗУЧЕНО",$E159,0)</f>
        <v>0</v>
      </c>
      <c r="R159" s="21">
        <f>IF(Технологии!AY36="ИЗУЧЕНО",$E159,0)</f>
        <v>0</v>
      </c>
      <c r="S159" s="21">
        <f>IF(Технологии!AZ36="ИЗУЧЕНО",$E159,0)</f>
        <v>0</v>
      </c>
      <c r="T159" s="21">
        <f>IF(Технологии!BA36="ИЗУЧЕНО",$E159,0)</f>
        <v>0</v>
      </c>
      <c r="U159" s="21">
        <f>IF(Технологии!BB36="ИЗУЧЕНО",$E159,0)</f>
        <v>0</v>
      </c>
      <c r="V159" s="21">
        <f>IF(Технологии!BC36="ИЗУЧЕНО",$E159,0)</f>
        <v>0</v>
      </c>
      <c r="W159" s="21">
        <f>IF(Технологии!BD36="ИЗУЧЕНО",$E159,0)</f>
        <v>0</v>
      </c>
      <c r="X159" s="21">
        <f>IF(Технологии!BE36="ИЗУЧЕНО",$E159,0)</f>
        <v>0</v>
      </c>
      <c r="Y159" s="21">
        <f>IF(Технологии!BF36="ИЗУЧЕНО",$E159,0)</f>
        <v>0</v>
      </c>
    </row>
    <row r="160" spans="1:25">
      <c r="A160" s="19" t="s">
        <v>176</v>
      </c>
      <c r="B160" s="18" t="s">
        <v>177</v>
      </c>
      <c r="C160" s="18" t="s">
        <v>267</v>
      </c>
      <c r="D160" s="18" t="s">
        <v>414</v>
      </c>
      <c r="E160" s="20">
        <v>0.08</v>
      </c>
      <c r="F160" s="18" t="str">
        <f>IF(Технологии!BH36="","",Технологии!BH36)</f>
        <v/>
      </c>
      <c r="G160" s="18" t="s">
        <v>486</v>
      </c>
      <c r="J160" s="21">
        <f>0</f>
        <v>0</v>
      </c>
      <c r="K160" s="21">
        <f>IF(Технологии!AR36="ИЗУЧЕНО",$E160,0)</f>
        <v>0</v>
      </c>
      <c r="L160" s="21">
        <f>IF(Технологии!AS36="ИЗУЧЕНО",$E160,0)</f>
        <v>0</v>
      </c>
      <c r="M160" s="21">
        <f>IF(Технологии!AT36="ИЗУЧЕНО",$E160,0)</f>
        <v>0</v>
      </c>
      <c r="N160" s="21">
        <f>IF(Технологии!AU36="ИЗУЧЕНО",$E160,0)</f>
        <v>0</v>
      </c>
      <c r="O160" s="21">
        <f>IF(Технологии!AV36="ИЗУЧЕНО",$E160,0)</f>
        <v>0</v>
      </c>
      <c r="P160" s="21">
        <f>IF(Технологии!AW36="ИЗУЧЕНО",$E160,0)</f>
        <v>0</v>
      </c>
      <c r="Q160" s="21">
        <f>IF(Технологии!AX36="ИЗУЧЕНО",$E160,0)</f>
        <v>0</v>
      </c>
      <c r="R160" s="21">
        <f>IF(Технологии!AY36="ИЗУЧЕНО",$E160,0)</f>
        <v>0</v>
      </c>
      <c r="S160" s="21">
        <f>IF(Технологии!AZ36="ИЗУЧЕНО",$E160,0)</f>
        <v>0</v>
      </c>
      <c r="T160" s="21">
        <f>IF(Технологии!BA36="ИЗУЧЕНО",$E160,0)</f>
        <v>0</v>
      </c>
      <c r="U160" s="21">
        <f>IF(Технологии!BB36="ИЗУЧЕНО",$E160,0)</f>
        <v>0</v>
      </c>
      <c r="V160" s="21">
        <f>IF(Технологии!BC36="ИЗУЧЕНО",$E160,0)</f>
        <v>0</v>
      </c>
      <c r="W160" s="21">
        <f>IF(Технологии!BD36="ИЗУЧЕНО",$E160,0)</f>
        <v>0</v>
      </c>
      <c r="X160" s="21">
        <f>IF(Технологии!BE36="ИЗУЧЕНО",$E160,0)</f>
        <v>0</v>
      </c>
      <c r="Y160" s="21">
        <f>IF(Технологии!BF36="ИЗУЧЕНО",$E160,0)</f>
        <v>0</v>
      </c>
    </row>
    <row r="161" spans="1:25">
      <c r="A161" s="19" t="s">
        <v>176</v>
      </c>
      <c r="B161" s="18" t="s">
        <v>177</v>
      </c>
      <c r="C161" s="18" t="s">
        <v>312</v>
      </c>
      <c r="D161" s="18" t="s">
        <v>387</v>
      </c>
      <c r="E161" s="20">
        <v>0.2</v>
      </c>
      <c r="F161" s="18" t="str">
        <f>IF(Технологии!BH36="","",Технологии!BH36)</f>
        <v/>
      </c>
      <c r="G161" s="18" t="s">
        <v>487</v>
      </c>
      <c r="J161" s="21">
        <f>0</f>
        <v>0</v>
      </c>
      <c r="K161" s="21">
        <f>IF(Технологии!AR36="ИЗУЧЕНО",$E161,0)</f>
        <v>0</v>
      </c>
      <c r="L161" s="21">
        <f>IF(Технологии!AS36="ИЗУЧЕНО",$E161,0)</f>
        <v>0</v>
      </c>
      <c r="M161" s="21">
        <f>IF(Технологии!AT36="ИЗУЧЕНО",$E161,0)</f>
        <v>0</v>
      </c>
      <c r="N161" s="21">
        <f>IF(Технологии!AU36="ИЗУЧЕНО",$E161,0)</f>
        <v>0</v>
      </c>
      <c r="O161" s="21">
        <f>IF(Технологии!AV36="ИЗУЧЕНО",$E161,0)</f>
        <v>0</v>
      </c>
      <c r="P161" s="21">
        <f>IF(Технологии!AW36="ИЗУЧЕНО",$E161,0)</f>
        <v>0</v>
      </c>
      <c r="Q161" s="21">
        <f>IF(Технологии!AX36="ИЗУЧЕНО",$E161,0)</f>
        <v>0</v>
      </c>
      <c r="R161" s="21">
        <f>IF(Технологии!AY36="ИЗУЧЕНО",$E161,0)</f>
        <v>0</v>
      </c>
      <c r="S161" s="21">
        <f>IF(Технологии!AZ36="ИЗУЧЕНО",$E161,0)</f>
        <v>0</v>
      </c>
      <c r="T161" s="21">
        <f>IF(Технологии!BA36="ИЗУЧЕНО",$E161,0)</f>
        <v>0</v>
      </c>
      <c r="U161" s="21">
        <f>IF(Технологии!BB36="ИЗУЧЕНО",$E161,0)</f>
        <v>0</v>
      </c>
      <c r="V161" s="21">
        <f>IF(Технологии!BC36="ИЗУЧЕНО",$E161,0)</f>
        <v>0</v>
      </c>
      <c r="W161" s="21">
        <f>IF(Технологии!BD36="ИЗУЧЕНО",$E161,0)</f>
        <v>0</v>
      </c>
      <c r="X161" s="21">
        <f>IF(Технологии!BE36="ИЗУЧЕНО",$E161,0)</f>
        <v>0</v>
      </c>
      <c r="Y161" s="21">
        <f>IF(Технологии!BF36="ИЗУЧЕНО",$E161,0)</f>
        <v>0</v>
      </c>
    </row>
    <row r="162" spans="1:25">
      <c r="A162" s="19" t="s">
        <v>176</v>
      </c>
      <c r="B162" s="18" t="s">
        <v>177</v>
      </c>
      <c r="C162" s="18" t="s">
        <v>260</v>
      </c>
      <c r="D162" s="18" t="s">
        <v>387</v>
      </c>
      <c r="E162" s="20">
        <v>-0.15</v>
      </c>
      <c r="F162" s="18" t="str">
        <f>IF(Технологии!BH36="","",Технологии!BH36)</f>
        <v/>
      </c>
      <c r="G162" s="18" t="s">
        <v>424</v>
      </c>
      <c r="J162" s="21">
        <f>0</f>
        <v>0</v>
      </c>
      <c r="K162" s="21">
        <f>IF(Технологии!AR36="ИЗУЧЕНО",$E162,0)</f>
        <v>0</v>
      </c>
      <c r="L162" s="21">
        <f>IF(Технологии!AS36="ИЗУЧЕНО",$E162,0)</f>
        <v>0</v>
      </c>
      <c r="M162" s="21">
        <f>IF(Технологии!AT36="ИЗУЧЕНО",$E162,0)</f>
        <v>0</v>
      </c>
      <c r="N162" s="21">
        <f>IF(Технологии!AU36="ИЗУЧЕНО",$E162,0)</f>
        <v>0</v>
      </c>
      <c r="O162" s="21">
        <f>IF(Технологии!AV36="ИЗУЧЕНО",$E162,0)</f>
        <v>0</v>
      </c>
      <c r="P162" s="21">
        <f>IF(Технологии!AW36="ИЗУЧЕНО",$E162,0)</f>
        <v>0</v>
      </c>
      <c r="Q162" s="21">
        <f>IF(Технологии!AX36="ИЗУЧЕНО",$E162,0)</f>
        <v>0</v>
      </c>
      <c r="R162" s="21">
        <f>IF(Технологии!AY36="ИЗУЧЕНО",$E162,0)</f>
        <v>0</v>
      </c>
      <c r="S162" s="21">
        <f>IF(Технологии!AZ36="ИЗУЧЕНО",$E162,0)</f>
        <v>0</v>
      </c>
      <c r="T162" s="21">
        <f>IF(Технологии!BA36="ИЗУЧЕНО",$E162,0)</f>
        <v>0</v>
      </c>
      <c r="U162" s="21">
        <f>IF(Технологии!BB36="ИЗУЧЕНО",$E162,0)</f>
        <v>0</v>
      </c>
      <c r="V162" s="21">
        <f>IF(Технологии!BC36="ИЗУЧЕНО",$E162,0)</f>
        <v>0</v>
      </c>
      <c r="W162" s="21">
        <f>IF(Технологии!BD36="ИЗУЧЕНО",$E162,0)</f>
        <v>0</v>
      </c>
      <c r="X162" s="21">
        <f>IF(Технологии!BE36="ИЗУЧЕНО",$E162,0)</f>
        <v>0</v>
      </c>
      <c r="Y162" s="21">
        <f>IF(Технологии!BF36="ИЗУЧЕНО",$E162,0)</f>
        <v>0</v>
      </c>
    </row>
    <row r="163" spans="1:25">
      <c r="A163" s="19" t="s">
        <v>180</v>
      </c>
      <c r="B163" s="18" t="s">
        <v>181</v>
      </c>
      <c r="C163" s="18" t="s">
        <v>277</v>
      </c>
      <c r="D163" s="18" t="s">
        <v>414</v>
      </c>
      <c r="E163" s="20">
        <v>0.08</v>
      </c>
      <c r="F163" s="18" t="str">
        <f>IF(Технологии!BH37="","",Технологии!BH37)</f>
        <v/>
      </c>
      <c r="G163" s="18" t="s">
        <v>471</v>
      </c>
      <c r="J163" s="21">
        <f>0</f>
        <v>0</v>
      </c>
      <c r="K163" s="21">
        <f>IF(Технологии!AR37="ИЗУЧЕНО",$E163,0)</f>
        <v>0</v>
      </c>
      <c r="L163" s="21">
        <f>IF(Технологии!AS37="ИЗУЧЕНО",$E163,0)</f>
        <v>0</v>
      </c>
      <c r="M163" s="21">
        <f>IF(Технологии!AT37="ИЗУЧЕНО",$E163,0)</f>
        <v>0</v>
      </c>
      <c r="N163" s="21">
        <f>IF(Технологии!AU37="ИЗУЧЕНО",$E163,0)</f>
        <v>0</v>
      </c>
      <c r="O163" s="21">
        <f>IF(Технологии!AV37="ИЗУЧЕНО",$E163,0)</f>
        <v>0</v>
      </c>
      <c r="P163" s="21">
        <f>IF(Технологии!AW37="ИЗУЧЕНО",$E163,0)</f>
        <v>0</v>
      </c>
      <c r="Q163" s="21">
        <f>IF(Технологии!AX37="ИЗУЧЕНО",$E163,0)</f>
        <v>0</v>
      </c>
      <c r="R163" s="21">
        <f>IF(Технологии!AY37="ИЗУЧЕНО",$E163,0)</f>
        <v>0</v>
      </c>
      <c r="S163" s="21">
        <f>IF(Технологии!AZ37="ИЗУЧЕНО",$E163,0)</f>
        <v>0</v>
      </c>
      <c r="T163" s="21">
        <f>IF(Технологии!BA37="ИЗУЧЕНО",$E163,0)</f>
        <v>0</v>
      </c>
      <c r="U163" s="21">
        <f>IF(Технологии!BB37="ИЗУЧЕНО",$E163,0)</f>
        <v>0</v>
      </c>
      <c r="V163" s="21">
        <f>IF(Технологии!BC37="ИЗУЧЕНО",$E163,0)</f>
        <v>0</v>
      </c>
      <c r="W163" s="21">
        <f>IF(Технологии!BD37="ИЗУЧЕНО",$E163,0)</f>
        <v>0</v>
      </c>
      <c r="X163" s="21">
        <f>IF(Технологии!BE37="ИЗУЧЕНО",$E163,0)</f>
        <v>0</v>
      </c>
      <c r="Y163" s="21">
        <f>IF(Технологии!BF37="ИЗУЧЕНО",$E163,0)</f>
        <v>0</v>
      </c>
    </row>
    <row r="164" spans="1:25">
      <c r="A164" s="19" t="s">
        <v>180</v>
      </c>
      <c r="B164" s="18" t="s">
        <v>181</v>
      </c>
      <c r="C164" s="18" t="s">
        <v>276</v>
      </c>
      <c r="D164" s="18" t="s">
        <v>387</v>
      </c>
      <c r="E164" s="20">
        <v>0.2</v>
      </c>
      <c r="F164" s="18" t="str">
        <f>IF(Технологии!BH37="","",Технологии!BH37)</f>
        <v/>
      </c>
      <c r="G164" s="18" t="s">
        <v>399</v>
      </c>
      <c r="J164" s="21">
        <f>0</f>
        <v>0</v>
      </c>
      <c r="K164" s="21">
        <f>IF(Технологии!AR37="ИЗУЧЕНО",$E164,0)</f>
        <v>0</v>
      </c>
      <c r="L164" s="21">
        <f>IF(Технологии!AS37="ИЗУЧЕНО",$E164,0)</f>
        <v>0</v>
      </c>
      <c r="M164" s="21">
        <f>IF(Технологии!AT37="ИЗУЧЕНО",$E164,0)</f>
        <v>0</v>
      </c>
      <c r="N164" s="21">
        <f>IF(Технологии!AU37="ИЗУЧЕНО",$E164,0)</f>
        <v>0</v>
      </c>
      <c r="O164" s="21">
        <f>IF(Технологии!AV37="ИЗУЧЕНО",$E164,0)</f>
        <v>0</v>
      </c>
      <c r="P164" s="21">
        <f>IF(Технологии!AW37="ИЗУЧЕНО",$E164,0)</f>
        <v>0</v>
      </c>
      <c r="Q164" s="21">
        <f>IF(Технологии!AX37="ИЗУЧЕНО",$E164,0)</f>
        <v>0</v>
      </c>
      <c r="R164" s="21">
        <f>IF(Технологии!AY37="ИЗУЧЕНО",$E164,0)</f>
        <v>0</v>
      </c>
      <c r="S164" s="21">
        <f>IF(Технологии!AZ37="ИЗУЧЕНО",$E164,0)</f>
        <v>0</v>
      </c>
      <c r="T164" s="21">
        <f>IF(Технологии!BA37="ИЗУЧЕНО",$E164,0)</f>
        <v>0</v>
      </c>
      <c r="U164" s="21">
        <f>IF(Технологии!BB37="ИЗУЧЕНО",$E164,0)</f>
        <v>0</v>
      </c>
      <c r="V164" s="21">
        <f>IF(Технологии!BC37="ИЗУЧЕНО",$E164,0)</f>
        <v>0</v>
      </c>
      <c r="W164" s="21">
        <f>IF(Технологии!BD37="ИЗУЧЕНО",$E164,0)</f>
        <v>0</v>
      </c>
      <c r="X164" s="21">
        <f>IF(Технологии!BE37="ИЗУЧЕНО",$E164,0)</f>
        <v>0</v>
      </c>
      <c r="Y164" s="21">
        <f>IF(Технологии!BF37="ИЗУЧЕНО",$E164,0)</f>
        <v>0</v>
      </c>
    </row>
    <row r="165" spans="1:25">
      <c r="A165" s="19" t="s">
        <v>180</v>
      </c>
      <c r="B165" s="18" t="s">
        <v>181</v>
      </c>
      <c r="C165" s="18" t="s">
        <v>381</v>
      </c>
      <c r="D165" s="18" t="s">
        <v>405</v>
      </c>
      <c r="E165" s="20">
        <v>0.1</v>
      </c>
      <c r="F165" s="18" t="str">
        <f>IF(Технологии!BH37="","",Технологии!BH37)</f>
        <v/>
      </c>
      <c r="G165" s="18" t="s">
        <v>488</v>
      </c>
      <c r="J165" s="21">
        <f>0</f>
        <v>0</v>
      </c>
      <c r="K165" s="21">
        <f>IF(Технологии!AR37="ИЗУЧЕНО",$E165,0)</f>
        <v>0</v>
      </c>
      <c r="L165" s="21">
        <f>IF(Технологии!AS37="ИЗУЧЕНО",$E165,0)</f>
        <v>0</v>
      </c>
      <c r="M165" s="21">
        <f>IF(Технологии!AT37="ИЗУЧЕНО",$E165,0)</f>
        <v>0</v>
      </c>
      <c r="N165" s="21">
        <f>IF(Технологии!AU37="ИЗУЧЕНО",$E165,0)</f>
        <v>0</v>
      </c>
      <c r="O165" s="21">
        <f>IF(Технологии!AV37="ИЗУЧЕНО",$E165,0)</f>
        <v>0</v>
      </c>
      <c r="P165" s="21">
        <f>IF(Технологии!AW37="ИЗУЧЕНО",$E165,0)</f>
        <v>0</v>
      </c>
      <c r="Q165" s="21">
        <f>IF(Технологии!AX37="ИЗУЧЕНО",$E165,0)</f>
        <v>0</v>
      </c>
      <c r="R165" s="21">
        <f>IF(Технологии!AY37="ИЗУЧЕНО",$E165,0)</f>
        <v>0</v>
      </c>
      <c r="S165" s="21">
        <f>IF(Технологии!AZ37="ИЗУЧЕНО",$E165,0)</f>
        <v>0</v>
      </c>
      <c r="T165" s="21">
        <f>IF(Технологии!BA37="ИЗУЧЕНО",$E165,0)</f>
        <v>0</v>
      </c>
      <c r="U165" s="21">
        <f>IF(Технологии!BB37="ИЗУЧЕНО",$E165,0)</f>
        <v>0</v>
      </c>
      <c r="V165" s="21">
        <f>IF(Технологии!BC37="ИЗУЧЕНО",$E165,0)</f>
        <v>0</v>
      </c>
      <c r="W165" s="21">
        <f>IF(Технологии!BD37="ИЗУЧЕНО",$E165,0)</f>
        <v>0</v>
      </c>
      <c r="X165" s="21">
        <f>IF(Технологии!BE37="ИЗУЧЕНО",$E165,0)</f>
        <v>0</v>
      </c>
      <c r="Y165" s="21">
        <f>IF(Технологии!BF37="ИЗУЧЕНО",$E165,0)</f>
        <v>0</v>
      </c>
    </row>
    <row r="166" spans="1:25">
      <c r="A166" s="19" t="s">
        <v>180</v>
      </c>
      <c r="B166" s="18" t="s">
        <v>181</v>
      </c>
      <c r="C166" s="18" t="s">
        <v>268</v>
      </c>
      <c r="D166" s="18" t="s">
        <v>387</v>
      </c>
      <c r="E166" s="20">
        <v>-0.2</v>
      </c>
      <c r="F166" s="18" t="str">
        <f>IF(Технологии!BH37="","",Технологии!BH37)</f>
        <v/>
      </c>
      <c r="G166" s="18" t="s">
        <v>409</v>
      </c>
      <c r="J166" s="21">
        <f>0</f>
        <v>0</v>
      </c>
      <c r="K166" s="21">
        <f>IF(Технологии!AR37="ИЗУЧЕНО",$E166,0)</f>
        <v>0</v>
      </c>
      <c r="L166" s="21">
        <f>IF(Технологии!AS37="ИЗУЧЕНО",$E166,0)</f>
        <v>0</v>
      </c>
      <c r="M166" s="21">
        <f>IF(Технологии!AT37="ИЗУЧЕНО",$E166,0)</f>
        <v>0</v>
      </c>
      <c r="N166" s="21">
        <f>IF(Технологии!AU37="ИЗУЧЕНО",$E166,0)</f>
        <v>0</v>
      </c>
      <c r="O166" s="21">
        <f>IF(Технологии!AV37="ИЗУЧЕНО",$E166,0)</f>
        <v>0</v>
      </c>
      <c r="P166" s="21">
        <f>IF(Технологии!AW37="ИЗУЧЕНО",$E166,0)</f>
        <v>0</v>
      </c>
      <c r="Q166" s="21">
        <f>IF(Технологии!AX37="ИЗУЧЕНО",$E166,0)</f>
        <v>0</v>
      </c>
      <c r="R166" s="21">
        <f>IF(Технологии!AY37="ИЗУЧЕНО",$E166,0)</f>
        <v>0</v>
      </c>
      <c r="S166" s="21">
        <f>IF(Технологии!AZ37="ИЗУЧЕНО",$E166,0)</f>
        <v>0</v>
      </c>
      <c r="T166" s="21">
        <f>IF(Технологии!BA37="ИЗУЧЕНО",$E166,0)</f>
        <v>0</v>
      </c>
      <c r="U166" s="21">
        <f>IF(Технологии!BB37="ИЗУЧЕНО",$E166,0)</f>
        <v>0</v>
      </c>
      <c r="V166" s="21">
        <f>IF(Технологии!BC37="ИЗУЧЕНО",$E166,0)</f>
        <v>0</v>
      </c>
      <c r="W166" s="21">
        <f>IF(Технологии!BD37="ИЗУЧЕНО",$E166,0)</f>
        <v>0</v>
      </c>
      <c r="X166" s="21">
        <f>IF(Технологии!BE37="ИЗУЧЕНО",$E166,0)</f>
        <v>0</v>
      </c>
      <c r="Y166" s="21">
        <f>IF(Технологии!BF37="ИЗУЧЕНО",$E166,0)</f>
        <v>0</v>
      </c>
    </row>
    <row r="167" spans="1:25">
      <c r="A167" s="19" t="s">
        <v>184</v>
      </c>
      <c r="B167" s="18" t="s">
        <v>185</v>
      </c>
      <c r="C167" s="18" t="s">
        <v>275</v>
      </c>
      <c r="D167" s="18" t="s">
        <v>414</v>
      </c>
      <c r="E167" s="20">
        <v>0.08</v>
      </c>
      <c r="F167" s="18" t="str">
        <f>IF(Технологии!BH38="","",Технологии!BH38)</f>
        <v/>
      </c>
      <c r="G167" s="18" t="s">
        <v>489</v>
      </c>
      <c r="J167" s="21">
        <f>0</f>
        <v>0</v>
      </c>
      <c r="K167" s="21">
        <f>IF(Технологии!AR38="ИЗУЧЕНО",$E167,0)</f>
        <v>0</v>
      </c>
      <c r="L167" s="21">
        <f>IF(Технологии!AS38="ИЗУЧЕНО",$E167,0)</f>
        <v>0</v>
      </c>
      <c r="M167" s="21">
        <f>IF(Технологии!AT38="ИЗУЧЕНО",$E167,0)</f>
        <v>0</v>
      </c>
      <c r="N167" s="21">
        <f>IF(Технологии!AU38="ИЗУЧЕНО",$E167,0)</f>
        <v>0</v>
      </c>
      <c r="O167" s="21">
        <f>IF(Технологии!AV38="ИЗУЧЕНО",$E167,0)</f>
        <v>0</v>
      </c>
      <c r="P167" s="21">
        <f>IF(Технологии!AW38="ИЗУЧЕНО",$E167,0)</f>
        <v>0</v>
      </c>
      <c r="Q167" s="21">
        <f>IF(Технологии!AX38="ИЗУЧЕНО",$E167,0)</f>
        <v>0</v>
      </c>
      <c r="R167" s="21">
        <f>IF(Технологии!AY38="ИЗУЧЕНО",$E167,0)</f>
        <v>0</v>
      </c>
      <c r="S167" s="21">
        <f>IF(Технологии!AZ38="ИЗУЧЕНО",$E167,0)</f>
        <v>0</v>
      </c>
      <c r="T167" s="21">
        <f>IF(Технологии!BA38="ИЗУЧЕНО",$E167,0)</f>
        <v>0</v>
      </c>
      <c r="U167" s="21">
        <f>IF(Технологии!BB38="ИЗУЧЕНО",$E167,0)</f>
        <v>0</v>
      </c>
      <c r="V167" s="21">
        <f>IF(Технологии!BC38="ИЗУЧЕНО",$E167,0)</f>
        <v>0</v>
      </c>
      <c r="W167" s="21">
        <f>IF(Технологии!BD38="ИЗУЧЕНО",$E167,0)</f>
        <v>0</v>
      </c>
      <c r="X167" s="21">
        <f>IF(Технологии!BE38="ИЗУЧЕНО",$E167,0)</f>
        <v>0</v>
      </c>
      <c r="Y167" s="21">
        <f>IF(Технологии!BF38="ИЗУЧЕНО",$E167,0)</f>
        <v>0</v>
      </c>
    </row>
    <row r="168" spans="1:25">
      <c r="A168" s="19" t="s">
        <v>184</v>
      </c>
      <c r="B168" s="18" t="s">
        <v>185</v>
      </c>
      <c r="C168" s="18" t="s">
        <v>267</v>
      </c>
      <c r="D168" s="18" t="s">
        <v>387</v>
      </c>
      <c r="E168" s="20">
        <v>0.2</v>
      </c>
      <c r="F168" s="18" t="str">
        <f>IF(Технологии!BH38="","",Технологии!BH38)</f>
        <v/>
      </c>
      <c r="G168" s="18" t="s">
        <v>490</v>
      </c>
      <c r="J168" s="21">
        <f>0</f>
        <v>0</v>
      </c>
      <c r="K168" s="21">
        <f>IF(Технологии!AR38="ИЗУЧЕНО",$E168,0)</f>
        <v>0</v>
      </c>
      <c r="L168" s="21">
        <f>IF(Технологии!AS38="ИЗУЧЕНО",$E168,0)</f>
        <v>0</v>
      </c>
      <c r="M168" s="21">
        <f>IF(Технологии!AT38="ИЗУЧЕНО",$E168,0)</f>
        <v>0</v>
      </c>
      <c r="N168" s="21">
        <f>IF(Технологии!AU38="ИЗУЧЕНО",$E168,0)</f>
        <v>0</v>
      </c>
      <c r="O168" s="21">
        <f>IF(Технологии!AV38="ИЗУЧЕНО",$E168,0)</f>
        <v>0</v>
      </c>
      <c r="P168" s="21">
        <f>IF(Технологии!AW38="ИЗУЧЕНО",$E168,0)</f>
        <v>0</v>
      </c>
      <c r="Q168" s="21">
        <f>IF(Технологии!AX38="ИЗУЧЕНО",$E168,0)</f>
        <v>0</v>
      </c>
      <c r="R168" s="21">
        <f>IF(Технологии!AY38="ИЗУЧЕНО",$E168,0)</f>
        <v>0</v>
      </c>
      <c r="S168" s="21">
        <f>IF(Технологии!AZ38="ИЗУЧЕНО",$E168,0)</f>
        <v>0</v>
      </c>
      <c r="T168" s="21">
        <f>IF(Технологии!BA38="ИЗУЧЕНО",$E168,0)</f>
        <v>0</v>
      </c>
      <c r="U168" s="21">
        <f>IF(Технологии!BB38="ИЗУЧЕНО",$E168,0)</f>
        <v>0</v>
      </c>
      <c r="V168" s="21">
        <f>IF(Технологии!BC38="ИЗУЧЕНО",$E168,0)</f>
        <v>0</v>
      </c>
      <c r="W168" s="21">
        <f>IF(Технологии!BD38="ИЗУЧЕНО",$E168,0)</f>
        <v>0</v>
      </c>
      <c r="X168" s="21">
        <f>IF(Технологии!BE38="ИЗУЧЕНО",$E168,0)</f>
        <v>0</v>
      </c>
      <c r="Y168" s="21">
        <f>IF(Технологии!BF38="ИЗУЧЕНО",$E168,0)</f>
        <v>0</v>
      </c>
    </row>
    <row r="169" spans="1:25">
      <c r="A169" s="19" t="s">
        <v>184</v>
      </c>
      <c r="B169" s="18" t="s">
        <v>185</v>
      </c>
      <c r="C169" s="18" t="s">
        <v>276</v>
      </c>
      <c r="D169" s="18" t="s">
        <v>387</v>
      </c>
      <c r="E169" s="20">
        <v>0.2</v>
      </c>
      <c r="F169" s="18" t="str">
        <f>IF(Технологии!BH38="","",Технологии!BH38)</f>
        <v/>
      </c>
      <c r="G169" s="18" t="s">
        <v>399</v>
      </c>
      <c r="J169" s="21">
        <f>0</f>
        <v>0</v>
      </c>
      <c r="K169" s="21">
        <f>IF(Технологии!AR38="ИЗУЧЕНО",$E169,0)</f>
        <v>0</v>
      </c>
      <c r="L169" s="21">
        <f>IF(Технологии!AS38="ИЗУЧЕНО",$E169,0)</f>
        <v>0</v>
      </c>
      <c r="M169" s="21">
        <f>IF(Технологии!AT38="ИЗУЧЕНО",$E169,0)</f>
        <v>0</v>
      </c>
      <c r="N169" s="21">
        <f>IF(Технологии!AU38="ИЗУЧЕНО",$E169,0)</f>
        <v>0</v>
      </c>
      <c r="O169" s="21">
        <f>IF(Технологии!AV38="ИЗУЧЕНО",$E169,0)</f>
        <v>0</v>
      </c>
      <c r="P169" s="21">
        <f>IF(Технологии!AW38="ИЗУЧЕНО",$E169,0)</f>
        <v>0</v>
      </c>
      <c r="Q169" s="21">
        <f>IF(Технологии!AX38="ИЗУЧЕНО",$E169,0)</f>
        <v>0</v>
      </c>
      <c r="R169" s="21">
        <f>IF(Технологии!AY38="ИЗУЧЕНО",$E169,0)</f>
        <v>0</v>
      </c>
      <c r="S169" s="21">
        <f>IF(Технологии!AZ38="ИЗУЧЕНО",$E169,0)</f>
        <v>0</v>
      </c>
      <c r="T169" s="21">
        <f>IF(Технологии!BA38="ИЗУЧЕНО",$E169,0)</f>
        <v>0</v>
      </c>
      <c r="U169" s="21">
        <f>IF(Технологии!BB38="ИЗУЧЕНО",$E169,0)</f>
        <v>0</v>
      </c>
      <c r="V169" s="21">
        <f>IF(Технологии!BC38="ИЗУЧЕНО",$E169,0)</f>
        <v>0</v>
      </c>
      <c r="W169" s="21">
        <f>IF(Технологии!BD38="ИЗУЧЕНО",$E169,0)</f>
        <v>0</v>
      </c>
      <c r="X169" s="21">
        <f>IF(Технологии!BE38="ИЗУЧЕНО",$E169,0)</f>
        <v>0</v>
      </c>
      <c r="Y169" s="21">
        <f>IF(Технологии!BF38="ИЗУЧЕНО",$E169,0)</f>
        <v>0</v>
      </c>
    </row>
    <row r="170" spans="1:25">
      <c r="A170" s="19" t="s">
        <v>184</v>
      </c>
      <c r="B170" s="18" t="s">
        <v>185</v>
      </c>
      <c r="C170" s="18" t="s">
        <v>377</v>
      </c>
      <c r="D170" s="18" t="s">
        <v>405</v>
      </c>
      <c r="E170" s="20">
        <v>0.15</v>
      </c>
      <c r="F170" s="18" t="str">
        <f>IF(Технологии!BH38="","",Технологии!BH38)</f>
        <v/>
      </c>
      <c r="G170" s="18" t="s">
        <v>491</v>
      </c>
      <c r="J170" s="21">
        <f>0</f>
        <v>0</v>
      </c>
      <c r="K170" s="21">
        <f>IF(Технологии!AR38="ИЗУЧЕНО",$E170,0)</f>
        <v>0</v>
      </c>
      <c r="L170" s="21">
        <f>IF(Технологии!AS38="ИЗУЧЕНО",$E170,0)</f>
        <v>0</v>
      </c>
      <c r="M170" s="21">
        <f>IF(Технологии!AT38="ИЗУЧЕНО",$E170,0)</f>
        <v>0</v>
      </c>
      <c r="N170" s="21">
        <f>IF(Технологии!AU38="ИЗУЧЕНО",$E170,0)</f>
        <v>0</v>
      </c>
      <c r="O170" s="21">
        <f>IF(Технологии!AV38="ИЗУЧЕНО",$E170,0)</f>
        <v>0</v>
      </c>
      <c r="P170" s="21">
        <f>IF(Технологии!AW38="ИЗУЧЕНО",$E170,0)</f>
        <v>0</v>
      </c>
      <c r="Q170" s="21">
        <f>IF(Технологии!AX38="ИЗУЧЕНО",$E170,0)</f>
        <v>0</v>
      </c>
      <c r="R170" s="21">
        <f>IF(Технологии!AY38="ИЗУЧЕНО",$E170,0)</f>
        <v>0</v>
      </c>
      <c r="S170" s="21">
        <f>IF(Технологии!AZ38="ИЗУЧЕНО",$E170,0)</f>
        <v>0</v>
      </c>
      <c r="T170" s="21">
        <f>IF(Технологии!BA38="ИЗУЧЕНО",$E170,0)</f>
        <v>0</v>
      </c>
      <c r="U170" s="21">
        <f>IF(Технологии!BB38="ИЗУЧЕНО",$E170,0)</f>
        <v>0</v>
      </c>
      <c r="V170" s="21">
        <f>IF(Технологии!BC38="ИЗУЧЕНО",$E170,0)</f>
        <v>0</v>
      </c>
      <c r="W170" s="21">
        <f>IF(Технологии!BD38="ИЗУЧЕНО",$E170,0)</f>
        <v>0</v>
      </c>
      <c r="X170" s="21">
        <f>IF(Технологии!BE38="ИЗУЧЕНО",$E170,0)</f>
        <v>0</v>
      </c>
      <c r="Y170" s="21">
        <f>IF(Технологии!BF38="ИЗУЧЕНО",$E170,0)</f>
        <v>0</v>
      </c>
    </row>
    <row r="171" spans="1:25">
      <c r="A171" s="19" t="s">
        <v>184</v>
      </c>
      <c r="B171" s="18" t="s">
        <v>185</v>
      </c>
      <c r="C171" s="18" t="s">
        <v>256</v>
      </c>
      <c r="D171" s="18" t="s">
        <v>387</v>
      </c>
      <c r="E171" s="20">
        <v>-0.2</v>
      </c>
      <c r="F171" s="18" t="str">
        <f>IF(Технологии!BH38="","",Технологии!BH38)</f>
        <v/>
      </c>
      <c r="G171" s="18" t="s">
        <v>492</v>
      </c>
      <c r="J171" s="21">
        <f>0</f>
        <v>0</v>
      </c>
      <c r="K171" s="21">
        <f>IF(Технологии!AR38="ИЗУЧЕНО",$E171,0)</f>
        <v>0</v>
      </c>
      <c r="L171" s="21">
        <f>IF(Технологии!AS38="ИЗУЧЕНО",$E171,0)</f>
        <v>0</v>
      </c>
      <c r="M171" s="21">
        <f>IF(Технологии!AT38="ИЗУЧЕНО",$E171,0)</f>
        <v>0</v>
      </c>
      <c r="N171" s="21">
        <f>IF(Технологии!AU38="ИЗУЧЕНО",$E171,0)</f>
        <v>0</v>
      </c>
      <c r="O171" s="21">
        <f>IF(Технологии!AV38="ИЗУЧЕНО",$E171,0)</f>
        <v>0</v>
      </c>
      <c r="P171" s="21">
        <f>IF(Технологии!AW38="ИЗУЧЕНО",$E171,0)</f>
        <v>0</v>
      </c>
      <c r="Q171" s="21">
        <f>IF(Технологии!AX38="ИЗУЧЕНО",$E171,0)</f>
        <v>0</v>
      </c>
      <c r="R171" s="21">
        <f>IF(Технологии!AY38="ИЗУЧЕНО",$E171,0)</f>
        <v>0</v>
      </c>
      <c r="S171" s="21">
        <f>IF(Технологии!AZ38="ИЗУЧЕНО",$E171,0)</f>
        <v>0</v>
      </c>
      <c r="T171" s="21">
        <f>IF(Технологии!BA38="ИЗУЧЕНО",$E171,0)</f>
        <v>0</v>
      </c>
      <c r="U171" s="21">
        <f>IF(Технологии!BB38="ИЗУЧЕНО",$E171,0)</f>
        <v>0</v>
      </c>
      <c r="V171" s="21">
        <f>IF(Технологии!BC38="ИЗУЧЕНО",$E171,0)</f>
        <v>0</v>
      </c>
      <c r="W171" s="21">
        <f>IF(Технологии!BD38="ИЗУЧЕНО",$E171,0)</f>
        <v>0</v>
      </c>
      <c r="X171" s="21">
        <f>IF(Технологии!BE38="ИЗУЧЕНО",$E171,0)</f>
        <v>0</v>
      </c>
      <c r="Y171" s="21">
        <f>IF(Технологии!BF38="ИЗУЧЕНО",$E171,0)</f>
        <v>0</v>
      </c>
    </row>
    <row r="172" spans="1:25">
      <c r="A172" s="19" t="s">
        <v>184</v>
      </c>
      <c r="B172" s="18" t="s">
        <v>185</v>
      </c>
      <c r="C172" s="18" t="s">
        <v>260</v>
      </c>
      <c r="D172" s="18" t="s">
        <v>387</v>
      </c>
      <c r="E172" s="20">
        <v>-0.3</v>
      </c>
      <c r="F172" s="18" t="str">
        <f>IF(Технологии!BH38="","",Технологии!BH38)</f>
        <v/>
      </c>
      <c r="G172" s="18" t="s">
        <v>435</v>
      </c>
      <c r="J172" s="21">
        <f>0</f>
        <v>0</v>
      </c>
      <c r="K172" s="21">
        <f>IF(Технологии!AR38="ИЗУЧЕНО",$E172,0)</f>
        <v>0</v>
      </c>
      <c r="L172" s="21">
        <f>IF(Технологии!AS38="ИЗУЧЕНО",$E172,0)</f>
        <v>0</v>
      </c>
      <c r="M172" s="21">
        <f>IF(Технологии!AT38="ИЗУЧЕНО",$E172,0)</f>
        <v>0</v>
      </c>
      <c r="N172" s="21">
        <f>IF(Технологии!AU38="ИЗУЧЕНО",$E172,0)</f>
        <v>0</v>
      </c>
      <c r="O172" s="21">
        <f>IF(Технологии!AV38="ИЗУЧЕНО",$E172,0)</f>
        <v>0</v>
      </c>
      <c r="P172" s="21">
        <f>IF(Технологии!AW38="ИЗУЧЕНО",$E172,0)</f>
        <v>0</v>
      </c>
      <c r="Q172" s="21">
        <f>IF(Технологии!AX38="ИЗУЧЕНО",$E172,0)</f>
        <v>0</v>
      </c>
      <c r="R172" s="21">
        <f>IF(Технологии!AY38="ИЗУЧЕНО",$E172,0)</f>
        <v>0</v>
      </c>
      <c r="S172" s="21">
        <f>IF(Технологии!AZ38="ИЗУЧЕНО",$E172,0)</f>
        <v>0</v>
      </c>
      <c r="T172" s="21">
        <f>IF(Технологии!BA38="ИЗУЧЕНО",$E172,0)</f>
        <v>0</v>
      </c>
      <c r="U172" s="21">
        <f>IF(Технологии!BB38="ИЗУЧЕНО",$E172,0)</f>
        <v>0</v>
      </c>
      <c r="V172" s="21">
        <f>IF(Технологии!BC38="ИЗУЧЕНО",$E172,0)</f>
        <v>0</v>
      </c>
      <c r="W172" s="21">
        <f>IF(Технологии!BD38="ИЗУЧЕНО",$E172,0)</f>
        <v>0</v>
      </c>
      <c r="X172" s="21">
        <f>IF(Технологии!BE38="ИЗУЧЕНО",$E172,0)</f>
        <v>0</v>
      </c>
      <c r="Y172" s="21">
        <f>IF(Технологии!BF38="ИЗУЧЕНО",$E172,0)</f>
        <v>0</v>
      </c>
    </row>
    <row r="173" spans="1:25">
      <c r="A173" s="19" t="s">
        <v>188</v>
      </c>
      <c r="B173" s="18" t="s">
        <v>189</v>
      </c>
      <c r="C173" s="18" t="s">
        <v>267</v>
      </c>
      <c r="D173" s="18" t="s">
        <v>414</v>
      </c>
      <c r="E173" s="20">
        <v>0.12</v>
      </c>
      <c r="F173" s="18" t="str">
        <f>IF(Технологии!BH39="","",Технологии!BH39)</f>
        <v/>
      </c>
      <c r="G173" s="18" t="s">
        <v>493</v>
      </c>
      <c r="J173" s="21">
        <f>0</f>
        <v>0</v>
      </c>
      <c r="K173" s="21">
        <f>IF(Технологии!AR39="ИЗУЧЕНО",$E173,0)</f>
        <v>0</v>
      </c>
      <c r="L173" s="21">
        <f>IF(Технологии!AS39="ИЗУЧЕНО",$E173,0)</f>
        <v>0</v>
      </c>
      <c r="M173" s="21">
        <f>IF(Технологии!AT39="ИЗУЧЕНО",$E173,0)</f>
        <v>0</v>
      </c>
      <c r="N173" s="21">
        <f>IF(Технологии!AU39="ИЗУЧЕНО",$E173,0)</f>
        <v>0</v>
      </c>
      <c r="O173" s="21">
        <f>IF(Технологии!AV39="ИЗУЧЕНО",$E173,0)</f>
        <v>0</v>
      </c>
      <c r="P173" s="21">
        <f>IF(Технологии!AW39="ИЗУЧЕНО",$E173,0)</f>
        <v>0</v>
      </c>
      <c r="Q173" s="21">
        <f>IF(Технологии!AX39="ИЗУЧЕНО",$E173,0)</f>
        <v>0</v>
      </c>
      <c r="R173" s="21">
        <f>IF(Технологии!AY39="ИЗУЧЕНО",$E173,0)</f>
        <v>0</v>
      </c>
      <c r="S173" s="21">
        <f>IF(Технологии!AZ39="ИЗУЧЕНО",$E173,0)</f>
        <v>0</v>
      </c>
      <c r="T173" s="21">
        <f>IF(Технологии!BA39="ИЗУЧЕНО",$E173,0)</f>
        <v>0</v>
      </c>
      <c r="U173" s="21">
        <f>IF(Технологии!BB39="ИЗУЧЕНО",$E173,0)</f>
        <v>0</v>
      </c>
      <c r="V173" s="21">
        <f>IF(Технологии!BC39="ИЗУЧЕНО",$E173,0)</f>
        <v>0</v>
      </c>
      <c r="W173" s="21">
        <f>IF(Технологии!BD39="ИЗУЧЕНО",$E173,0)</f>
        <v>0</v>
      </c>
      <c r="X173" s="21">
        <f>IF(Технологии!BE39="ИЗУЧЕНО",$E173,0)</f>
        <v>0</v>
      </c>
      <c r="Y173" s="21">
        <f>IF(Технологии!BF39="ИЗУЧЕНО",$E173,0)</f>
        <v>0</v>
      </c>
    </row>
    <row r="174" spans="1:25">
      <c r="A174" s="19" t="s">
        <v>188</v>
      </c>
      <c r="B174" s="18" t="s">
        <v>189</v>
      </c>
      <c r="C174" s="18" t="s">
        <v>312</v>
      </c>
      <c r="D174" s="18" t="s">
        <v>387</v>
      </c>
      <c r="E174" s="20">
        <v>0.2</v>
      </c>
      <c r="F174" s="18" t="str">
        <f>IF(Технологии!BH39="","",Технологии!BH39)</f>
        <v/>
      </c>
      <c r="G174" s="18" t="s">
        <v>487</v>
      </c>
      <c r="J174" s="21">
        <f>0</f>
        <v>0</v>
      </c>
      <c r="K174" s="21">
        <f>IF(Технологии!AR39="ИЗУЧЕНО",$E174,0)</f>
        <v>0</v>
      </c>
      <c r="L174" s="21">
        <f>IF(Технологии!AS39="ИЗУЧЕНО",$E174,0)</f>
        <v>0</v>
      </c>
      <c r="M174" s="21">
        <f>IF(Технологии!AT39="ИЗУЧЕНО",$E174,0)</f>
        <v>0</v>
      </c>
      <c r="N174" s="21">
        <f>IF(Технологии!AU39="ИЗУЧЕНО",$E174,0)</f>
        <v>0</v>
      </c>
      <c r="O174" s="21">
        <f>IF(Технологии!AV39="ИЗУЧЕНО",$E174,0)</f>
        <v>0</v>
      </c>
      <c r="P174" s="21">
        <f>IF(Технологии!AW39="ИЗУЧЕНО",$E174,0)</f>
        <v>0</v>
      </c>
      <c r="Q174" s="21">
        <f>IF(Технологии!AX39="ИЗУЧЕНО",$E174,0)</f>
        <v>0</v>
      </c>
      <c r="R174" s="21">
        <f>IF(Технологии!AY39="ИЗУЧЕНО",$E174,0)</f>
        <v>0</v>
      </c>
      <c r="S174" s="21">
        <f>IF(Технологии!AZ39="ИЗУЧЕНО",$E174,0)</f>
        <v>0</v>
      </c>
      <c r="T174" s="21">
        <f>IF(Технологии!BA39="ИЗУЧЕНО",$E174,0)</f>
        <v>0</v>
      </c>
      <c r="U174" s="21">
        <f>IF(Технологии!BB39="ИЗУЧЕНО",$E174,0)</f>
        <v>0</v>
      </c>
      <c r="V174" s="21">
        <f>IF(Технологии!BC39="ИЗУЧЕНО",$E174,0)</f>
        <v>0</v>
      </c>
      <c r="W174" s="21">
        <f>IF(Технологии!BD39="ИЗУЧЕНО",$E174,0)</f>
        <v>0</v>
      </c>
      <c r="X174" s="21">
        <f>IF(Технологии!BE39="ИЗУЧЕНО",$E174,0)</f>
        <v>0</v>
      </c>
      <c r="Y174" s="21">
        <f>IF(Технологии!BF39="ИЗУЧЕНО",$E174,0)</f>
        <v>0</v>
      </c>
    </row>
    <row r="175" spans="1:25">
      <c r="A175" s="19" t="s">
        <v>188</v>
      </c>
      <c r="B175" s="18" t="s">
        <v>189</v>
      </c>
      <c r="C175" s="18" t="s">
        <v>281</v>
      </c>
      <c r="D175" s="18" t="s">
        <v>414</v>
      </c>
      <c r="E175" s="20">
        <v>0.05</v>
      </c>
      <c r="F175" s="18" t="str">
        <f>IF(Технологии!BH39="","",Технологии!BH39)</f>
        <v/>
      </c>
      <c r="G175" s="18" t="s">
        <v>463</v>
      </c>
      <c r="J175" s="21">
        <f>0</f>
        <v>0</v>
      </c>
      <c r="K175" s="21">
        <f>IF(Технологии!AR39="ИЗУЧЕНО",$E175,0)</f>
        <v>0</v>
      </c>
      <c r="L175" s="21">
        <f>IF(Технологии!AS39="ИЗУЧЕНО",$E175,0)</f>
        <v>0</v>
      </c>
      <c r="M175" s="21">
        <f>IF(Технологии!AT39="ИЗУЧЕНО",$E175,0)</f>
        <v>0</v>
      </c>
      <c r="N175" s="21">
        <f>IF(Технологии!AU39="ИЗУЧЕНО",$E175,0)</f>
        <v>0</v>
      </c>
      <c r="O175" s="21">
        <f>IF(Технологии!AV39="ИЗУЧЕНО",$E175,0)</f>
        <v>0</v>
      </c>
      <c r="P175" s="21">
        <f>IF(Технологии!AW39="ИЗУЧЕНО",$E175,0)</f>
        <v>0</v>
      </c>
      <c r="Q175" s="21">
        <f>IF(Технологии!AX39="ИЗУЧЕНО",$E175,0)</f>
        <v>0</v>
      </c>
      <c r="R175" s="21">
        <f>IF(Технологии!AY39="ИЗУЧЕНО",$E175,0)</f>
        <v>0</v>
      </c>
      <c r="S175" s="21">
        <f>IF(Технологии!AZ39="ИЗУЧЕНО",$E175,0)</f>
        <v>0</v>
      </c>
      <c r="T175" s="21">
        <f>IF(Технологии!BA39="ИЗУЧЕНО",$E175,0)</f>
        <v>0</v>
      </c>
      <c r="U175" s="21">
        <f>IF(Технологии!BB39="ИЗУЧЕНО",$E175,0)</f>
        <v>0</v>
      </c>
      <c r="V175" s="21">
        <f>IF(Технологии!BC39="ИЗУЧЕНО",$E175,0)</f>
        <v>0</v>
      </c>
      <c r="W175" s="21">
        <f>IF(Технологии!BD39="ИЗУЧЕНО",$E175,0)</f>
        <v>0</v>
      </c>
      <c r="X175" s="21">
        <f>IF(Технологии!BE39="ИЗУЧЕНО",$E175,0)</f>
        <v>0</v>
      </c>
      <c r="Y175" s="21">
        <f>IF(Технологии!BF39="ИЗУЧЕНО",$E175,0)</f>
        <v>0</v>
      </c>
    </row>
    <row r="176" spans="1:25">
      <c r="A176" s="19" t="s">
        <v>188</v>
      </c>
      <c r="B176" s="18" t="s">
        <v>189</v>
      </c>
      <c r="C176" s="18" t="s">
        <v>299</v>
      </c>
      <c r="D176" s="18" t="s">
        <v>387</v>
      </c>
      <c r="E176" s="20">
        <v>0.25</v>
      </c>
      <c r="F176" s="18" t="str">
        <f>IF(Технологии!BH39="","",Технологии!BH39)</f>
        <v/>
      </c>
      <c r="G176" s="18" t="s">
        <v>494</v>
      </c>
      <c r="J176" s="21">
        <f>0</f>
        <v>0</v>
      </c>
      <c r="K176" s="21">
        <f>IF(Технологии!AR39="ИЗУЧЕНО",$E176,0)</f>
        <v>0</v>
      </c>
      <c r="L176" s="21">
        <f>IF(Технологии!AS39="ИЗУЧЕНО",$E176,0)</f>
        <v>0</v>
      </c>
      <c r="M176" s="21">
        <f>IF(Технологии!AT39="ИЗУЧЕНО",$E176,0)</f>
        <v>0</v>
      </c>
      <c r="N176" s="21">
        <f>IF(Технологии!AU39="ИЗУЧЕНО",$E176,0)</f>
        <v>0</v>
      </c>
      <c r="O176" s="21">
        <f>IF(Технологии!AV39="ИЗУЧЕНО",$E176,0)</f>
        <v>0</v>
      </c>
      <c r="P176" s="21">
        <f>IF(Технологии!AW39="ИЗУЧЕНО",$E176,0)</f>
        <v>0</v>
      </c>
      <c r="Q176" s="21">
        <f>IF(Технологии!AX39="ИЗУЧЕНО",$E176,0)</f>
        <v>0</v>
      </c>
      <c r="R176" s="21">
        <f>IF(Технологии!AY39="ИЗУЧЕНО",$E176,0)</f>
        <v>0</v>
      </c>
      <c r="S176" s="21">
        <f>IF(Технологии!AZ39="ИЗУЧЕНО",$E176,0)</f>
        <v>0</v>
      </c>
      <c r="T176" s="21">
        <f>IF(Технологии!BA39="ИЗУЧЕНО",$E176,0)</f>
        <v>0</v>
      </c>
      <c r="U176" s="21">
        <f>IF(Технологии!BB39="ИЗУЧЕНО",$E176,0)</f>
        <v>0</v>
      </c>
      <c r="V176" s="21">
        <f>IF(Технологии!BC39="ИЗУЧЕНО",$E176,0)</f>
        <v>0</v>
      </c>
      <c r="W176" s="21">
        <f>IF(Технологии!BD39="ИЗУЧЕНО",$E176,0)</f>
        <v>0</v>
      </c>
      <c r="X176" s="21">
        <f>IF(Технологии!BE39="ИЗУЧЕНО",$E176,0)</f>
        <v>0</v>
      </c>
      <c r="Y176" s="21">
        <f>IF(Технологии!BF39="ИЗУЧЕНО",$E176,0)</f>
        <v>0</v>
      </c>
    </row>
    <row r="177" spans="1:25">
      <c r="A177" s="19" t="s">
        <v>188</v>
      </c>
      <c r="B177" s="18" t="s">
        <v>189</v>
      </c>
      <c r="C177" s="18" t="s">
        <v>277</v>
      </c>
      <c r="D177" s="18" t="s">
        <v>414</v>
      </c>
      <c r="E177" s="20">
        <v>0.05</v>
      </c>
      <c r="F177" s="18" t="str">
        <f>IF(Технологии!BH39="","",Технологии!BH39)</f>
        <v/>
      </c>
      <c r="G177" s="18" t="s">
        <v>495</v>
      </c>
      <c r="J177" s="21">
        <f>0</f>
        <v>0</v>
      </c>
      <c r="K177" s="21">
        <f>IF(Технологии!AR39="ИЗУЧЕНО",$E177,0)</f>
        <v>0</v>
      </c>
      <c r="L177" s="21">
        <f>IF(Технологии!AS39="ИЗУЧЕНО",$E177,0)</f>
        <v>0</v>
      </c>
      <c r="M177" s="21">
        <f>IF(Технологии!AT39="ИЗУЧЕНО",$E177,0)</f>
        <v>0</v>
      </c>
      <c r="N177" s="21">
        <f>IF(Технологии!AU39="ИЗУЧЕНО",$E177,0)</f>
        <v>0</v>
      </c>
      <c r="O177" s="21">
        <f>IF(Технологии!AV39="ИЗУЧЕНО",$E177,0)</f>
        <v>0</v>
      </c>
      <c r="P177" s="21">
        <f>IF(Технологии!AW39="ИЗУЧЕНО",$E177,0)</f>
        <v>0</v>
      </c>
      <c r="Q177" s="21">
        <f>IF(Технологии!AX39="ИЗУЧЕНО",$E177,0)</f>
        <v>0</v>
      </c>
      <c r="R177" s="21">
        <f>IF(Технологии!AY39="ИЗУЧЕНО",$E177,0)</f>
        <v>0</v>
      </c>
      <c r="S177" s="21">
        <f>IF(Технологии!AZ39="ИЗУЧЕНО",$E177,0)</f>
        <v>0</v>
      </c>
      <c r="T177" s="21">
        <f>IF(Технологии!BA39="ИЗУЧЕНО",$E177,0)</f>
        <v>0</v>
      </c>
      <c r="U177" s="21">
        <f>IF(Технологии!BB39="ИЗУЧЕНО",$E177,0)</f>
        <v>0</v>
      </c>
      <c r="V177" s="21">
        <f>IF(Технологии!BC39="ИЗУЧЕНО",$E177,0)</f>
        <v>0</v>
      </c>
      <c r="W177" s="21">
        <f>IF(Технологии!BD39="ИЗУЧЕНО",$E177,0)</f>
        <v>0</v>
      </c>
      <c r="X177" s="21">
        <f>IF(Технологии!BE39="ИЗУЧЕНО",$E177,0)</f>
        <v>0</v>
      </c>
      <c r="Y177" s="21">
        <f>IF(Технологии!BF39="ИЗУЧЕНО",$E177,0)</f>
        <v>0</v>
      </c>
    </row>
    <row r="178" spans="1:25">
      <c r="A178" s="19" t="s">
        <v>188</v>
      </c>
      <c r="B178" s="18" t="s">
        <v>189</v>
      </c>
      <c r="C178" s="18" t="s">
        <v>256</v>
      </c>
      <c r="D178" s="18" t="s">
        <v>387</v>
      </c>
      <c r="E178" s="20">
        <v>-0.3</v>
      </c>
      <c r="F178" s="18" t="str">
        <f>IF(Технологии!BH39="","",Технологии!BH39)</f>
        <v/>
      </c>
      <c r="G178" s="18" t="s">
        <v>496</v>
      </c>
      <c r="J178" s="21">
        <f>0</f>
        <v>0</v>
      </c>
      <c r="K178" s="21">
        <f>IF(Технологии!AR39="ИЗУЧЕНО",$E178,0)</f>
        <v>0</v>
      </c>
      <c r="L178" s="21">
        <f>IF(Технологии!AS39="ИЗУЧЕНО",$E178,0)</f>
        <v>0</v>
      </c>
      <c r="M178" s="21">
        <f>IF(Технологии!AT39="ИЗУЧЕНО",$E178,0)</f>
        <v>0</v>
      </c>
      <c r="N178" s="21">
        <f>IF(Технологии!AU39="ИЗУЧЕНО",$E178,0)</f>
        <v>0</v>
      </c>
      <c r="O178" s="21">
        <f>IF(Технологии!AV39="ИЗУЧЕНО",$E178,0)</f>
        <v>0</v>
      </c>
      <c r="P178" s="21">
        <f>IF(Технологии!AW39="ИЗУЧЕНО",$E178,0)</f>
        <v>0</v>
      </c>
      <c r="Q178" s="21">
        <f>IF(Технологии!AX39="ИЗУЧЕНО",$E178,0)</f>
        <v>0</v>
      </c>
      <c r="R178" s="21">
        <f>IF(Технологии!AY39="ИЗУЧЕНО",$E178,0)</f>
        <v>0</v>
      </c>
      <c r="S178" s="21">
        <f>IF(Технологии!AZ39="ИЗУЧЕНО",$E178,0)</f>
        <v>0</v>
      </c>
      <c r="T178" s="21">
        <f>IF(Технологии!BA39="ИЗУЧЕНО",$E178,0)</f>
        <v>0</v>
      </c>
      <c r="U178" s="21">
        <f>IF(Технологии!BB39="ИЗУЧЕНО",$E178,0)</f>
        <v>0</v>
      </c>
      <c r="V178" s="21">
        <f>IF(Технологии!BC39="ИЗУЧЕНО",$E178,0)</f>
        <v>0</v>
      </c>
      <c r="W178" s="21">
        <f>IF(Технологии!BD39="ИЗУЧЕНО",$E178,0)</f>
        <v>0</v>
      </c>
      <c r="X178" s="21">
        <f>IF(Технологии!BE39="ИЗУЧЕНО",$E178,0)</f>
        <v>0</v>
      </c>
      <c r="Y178" s="21">
        <f>IF(Технологии!BF39="ИЗУЧЕНО",$E178,0)</f>
        <v>0</v>
      </c>
    </row>
    <row r="179" spans="1:25">
      <c r="A179" s="19" t="s">
        <v>188</v>
      </c>
      <c r="B179" s="18" t="s">
        <v>189</v>
      </c>
      <c r="C179" s="18" t="s">
        <v>260</v>
      </c>
      <c r="D179" s="18" t="s">
        <v>387</v>
      </c>
      <c r="E179" s="20">
        <v>-0.25</v>
      </c>
      <c r="F179" s="18" t="str">
        <f>IF(Технологии!BH39="","",Технологии!BH39)</f>
        <v/>
      </c>
      <c r="G179" s="18" t="s">
        <v>400</v>
      </c>
      <c r="J179" s="21">
        <f>0</f>
        <v>0</v>
      </c>
      <c r="K179" s="21">
        <f>IF(Технологии!AR39="ИЗУЧЕНО",$E179,0)</f>
        <v>0</v>
      </c>
      <c r="L179" s="21">
        <f>IF(Технологии!AS39="ИЗУЧЕНО",$E179,0)</f>
        <v>0</v>
      </c>
      <c r="M179" s="21">
        <f>IF(Технологии!AT39="ИЗУЧЕНО",$E179,0)</f>
        <v>0</v>
      </c>
      <c r="N179" s="21">
        <f>IF(Технологии!AU39="ИЗУЧЕНО",$E179,0)</f>
        <v>0</v>
      </c>
      <c r="O179" s="21">
        <f>IF(Технологии!AV39="ИЗУЧЕНО",$E179,0)</f>
        <v>0</v>
      </c>
      <c r="P179" s="21">
        <f>IF(Технологии!AW39="ИЗУЧЕНО",$E179,0)</f>
        <v>0</v>
      </c>
      <c r="Q179" s="21">
        <f>IF(Технологии!AX39="ИЗУЧЕНО",$E179,0)</f>
        <v>0</v>
      </c>
      <c r="R179" s="21">
        <f>IF(Технологии!AY39="ИЗУЧЕНО",$E179,0)</f>
        <v>0</v>
      </c>
      <c r="S179" s="21">
        <f>IF(Технологии!AZ39="ИЗУЧЕНО",$E179,0)</f>
        <v>0</v>
      </c>
      <c r="T179" s="21">
        <f>IF(Технологии!BA39="ИЗУЧЕНО",$E179,0)</f>
        <v>0</v>
      </c>
      <c r="U179" s="21">
        <f>IF(Технологии!BB39="ИЗУЧЕНО",$E179,0)</f>
        <v>0</v>
      </c>
      <c r="V179" s="21">
        <f>IF(Технологии!BC39="ИЗУЧЕНО",$E179,0)</f>
        <v>0</v>
      </c>
      <c r="W179" s="21">
        <f>IF(Технологии!BD39="ИЗУЧЕНО",$E179,0)</f>
        <v>0</v>
      </c>
      <c r="X179" s="21">
        <f>IF(Технологии!BE39="ИЗУЧЕНО",$E179,0)</f>
        <v>0</v>
      </c>
      <c r="Y179" s="21">
        <f>IF(Технологии!BF39="ИЗУЧЕНО",$E179,0)</f>
        <v>0</v>
      </c>
    </row>
    <row r="180" spans="1:25">
      <c r="A180" s="19" t="s">
        <v>188</v>
      </c>
      <c r="B180" s="18" t="s">
        <v>189</v>
      </c>
      <c r="C180" s="18" t="s">
        <v>297</v>
      </c>
      <c r="D180" s="18" t="s">
        <v>387</v>
      </c>
      <c r="E180" s="20">
        <v>-0.15</v>
      </c>
      <c r="F180" s="18" t="str">
        <f>IF(Технологии!BH39="","",Технологии!BH39)</f>
        <v/>
      </c>
      <c r="G180" s="18" t="s">
        <v>497</v>
      </c>
      <c r="J180" s="21">
        <f>0</f>
        <v>0</v>
      </c>
      <c r="K180" s="21">
        <f>IF(Технологии!AR39="ИЗУЧЕНО",$E180,0)</f>
        <v>0</v>
      </c>
      <c r="L180" s="21">
        <f>IF(Технологии!AS39="ИЗУЧЕНО",$E180,0)</f>
        <v>0</v>
      </c>
      <c r="M180" s="21">
        <f>IF(Технологии!AT39="ИЗУЧЕНО",$E180,0)</f>
        <v>0</v>
      </c>
      <c r="N180" s="21">
        <f>IF(Технологии!AU39="ИЗУЧЕНО",$E180,0)</f>
        <v>0</v>
      </c>
      <c r="O180" s="21">
        <f>IF(Технологии!AV39="ИЗУЧЕНО",$E180,0)</f>
        <v>0</v>
      </c>
      <c r="P180" s="21">
        <f>IF(Технологии!AW39="ИЗУЧЕНО",$E180,0)</f>
        <v>0</v>
      </c>
      <c r="Q180" s="21">
        <f>IF(Технологии!AX39="ИЗУЧЕНО",$E180,0)</f>
        <v>0</v>
      </c>
      <c r="R180" s="21">
        <f>IF(Технологии!AY39="ИЗУЧЕНО",$E180,0)</f>
        <v>0</v>
      </c>
      <c r="S180" s="21">
        <f>IF(Технологии!AZ39="ИЗУЧЕНО",$E180,0)</f>
        <v>0</v>
      </c>
      <c r="T180" s="21">
        <f>IF(Технологии!BA39="ИЗУЧЕНО",$E180,0)</f>
        <v>0</v>
      </c>
      <c r="U180" s="21">
        <f>IF(Технологии!BB39="ИЗУЧЕНО",$E180,0)</f>
        <v>0</v>
      </c>
      <c r="V180" s="21">
        <f>IF(Технологии!BC39="ИЗУЧЕНО",$E180,0)</f>
        <v>0</v>
      </c>
      <c r="W180" s="21">
        <f>IF(Технологии!BD39="ИЗУЧЕНО",$E180,0)</f>
        <v>0</v>
      </c>
      <c r="X180" s="21">
        <f>IF(Технологии!BE39="ИЗУЧЕНО",$E180,0)</f>
        <v>0</v>
      </c>
      <c r="Y180" s="21">
        <f>IF(Технологии!BF39="ИЗУЧЕНО",$E180,0)</f>
        <v>0</v>
      </c>
    </row>
    <row r="181" spans="1:25">
      <c r="A181" s="19" t="s">
        <v>192</v>
      </c>
      <c r="B181" s="18" t="s">
        <v>193</v>
      </c>
      <c r="C181" s="18" t="s">
        <v>267</v>
      </c>
      <c r="D181" s="18" t="s">
        <v>387</v>
      </c>
      <c r="E181" s="20">
        <v>0.5</v>
      </c>
      <c r="F181" s="18" t="str">
        <f>IF(Технологии!BH40="","",Технологии!BH40)</f>
        <v/>
      </c>
      <c r="G181" s="18" t="s">
        <v>498</v>
      </c>
      <c r="J181" s="21">
        <f>0</f>
        <v>0</v>
      </c>
      <c r="K181" s="21">
        <f>IF(Технологии!AR40="ИЗУЧЕНО",$E181,0)</f>
        <v>0</v>
      </c>
      <c r="L181" s="21">
        <f>IF(Технологии!AS40="ИЗУЧЕНО",$E181,0)</f>
        <v>0</v>
      </c>
      <c r="M181" s="21">
        <f>IF(Технологии!AT40="ИЗУЧЕНО",$E181,0)</f>
        <v>0</v>
      </c>
      <c r="N181" s="21">
        <f>IF(Технологии!AU40="ИЗУЧЕНО",$E181,0)</f>
        <v>0</v>
      </c>
      <c r="O181" s="21">
        <f>IF(Технологии!AV40="ИЗУЧЕНО",$E181,0)</f>
        <v>0</v>
      </c>
      <c r="P181" s="21">
        <f>IF(Технологии!AW40="ИЗУЧЕНО",$E181,0)</f>
        <v>0</v>
      </c>
      <c r="Q181" s="21">
        <f>IF(Технологии!AX40="ИЗУЧЕНО",$E181,0)</f>
        <v>0</v>
      </c>
      <c r="R181" s="21">
        <f>IF(Технологии!AY40="ИЗУЧЕНО",$E181,0)</f>
        <v>0</v>
      </c>
      <c r="S181" s="21">
        <f>IF(Технологии!AZ40="ИЗУЧЕНО",$E181,0)</f>
        <v>0</v>
      </c>
      <c r="T181" s="21">
        <f>IF(Технологии!BA40="ИЗУЧЕНО",$E181,0)</f>
        <v>0</v>
      </c>
      <c r="U181" s="21">
        <f>IF(Технологии!BB40="ИЗУЧЕНО",$E181,0)</f>
        <v>0</v>
      </c>
      <c r="V181" s="21">
        <f>IF(Технологии!BC40="ИЗУЧЕНО",$E181,0)</f>
        <v>0</v>
      </c>
      <c r="W181" s="21">
        <f>IF(Технологии!BD40="ИЗУЧЕНО",$E181,0)</f>
        <v>0</v>
      </c>
      <c r="X181" s="21">
        <f>IF(Технологии!BE40="ИЗУЧЕНО",$E181,0)</f>
        <v>0</v>
      </c>
      <c r="Y181" s="21">
        <f>IF(Технологии!BF40="ИЗУЧЕНО",$E181,0)</f>
        <v>0</v>
      </c>
    </row>
    <row r="182" spans="1:25">
      <c r="A182" s="19" t="s">
        <v>192</v>
      </c>
      <c r="B182" s="18" t="s">
        <v>193</v>
      </c>
      <c r="C182" s="18" t="s">
        <v>267</v>
      </c>
      <c r="D182" s="18" t="s">
        <v>414</v>
      </c>
      <c r="E182" s="20">
        <v>0.15</v>
      </c>
      <c r="F182" s="18" t="str">
        <f>IF(Технологии!BH40="","",Технологии!BH40)</f>
        <v/>
      </c>
      <c r="G182" s="18" t="s">
        <v>498</v>
      </c>
      <c r="J182" s="21">
        <f>0</f>
        <v>0</v>
      </c>
      <c r="K182" s="21">
        <f>IF(Технологии!AR40="ИЗУЧЕНО",$E182,0)</f>
        <v>0</v>
      </c>
      <c r="L182" s="21">
        <f>IF(Технологии!AS40="ИЗУЧЕНО",$E182,0)</f>
        <v>0</v>
      </c>
      <c r="M182" s="21">
        <f>IF(Технологии!AT40="ИЗУЧЕНО",$E182,0)</f>
        <v>0</v>
      </c>
      <c r="N182" s="21">
        <f>IF(Технологии!AU40="ИЗУЧЕНО",$E182,0)</f>
        <v>0</v>
      </c>
      <c r="O182" s="21">
        <f>IF(Технологии!AV40="ИЗУЧЕНО",$E182,0)</f>
        <v>0</v>
      </c>
      <c r="P182" s="21">
        <f>IF(Технологии!AW40="ИЗУЧЕНО",$E182,0)</f>
        <v>0</v>
      </c>
      <c r="Q182" s="21">
        <f>IF(Технологии!AX40="ИЗУЧЕНО",$E182,0)</f>
        <v>0</v>
      </c>
      <c r="R182" s="21">
        <f>IF(Технологии!AY40="ИЗУЧЕНО",$E182,0)</f>
        <v>0</v>
      </c>
      <c r="S182" s="21">
        <f>IF(Технологии!AZ40="ИЗУЧЕНО",$E182,0)</f>
        <v>0</v>
      </c>
      <c r="T182" s="21">
        <f>IF(Технологии!BA40="ИЗУЧЕНО",$E182,0)</f>
        <v>0</v>
      </c>
      <c r="U182" s="21">
        <f>IF(Технологии!BB40="ИЗУЧЕНО",$E182,0)</f>
        <v>0</v>
      </c>
      <c r="V182" s="21">
        <f>IF(Технологии!BC40="ИЗУЧЕНО",$E182,0)</f>
        <v>0</v>
      </c>
      <c r="W182" s="21">
        <f>IF(Технологии!BD40="ИЗУЧЕНО",$E182,0)</f>
        <v>0</v>
      </c>
      <c r="X182" s="21">
        <f>IF(Технологии!BE40="ИЗУЧЕНО",$E182,0)</f>
        <v>0</v>
      </c>
      <c r="Y182" s="21">
        <f>IF(Технологии!BF40="ИЗУЧЕНО",$E182,0)</f>
        <v>0</v>
      </c>
    </row>
    <row r="183" spans="1:25">
      <c r="A183" s="19" t="s">
        <v>192</v>
      </c>
      <c r="B183" s="18" t="s">
        <v>193</v>
      </c>
      <c r="C183" s="18" t="s">
        <v>301</v>
      </c>
      <c r="D183" s="18" t="s">
        <v>387</v>
      </c>
      <c r="E183" s="20">
        <v>0.3</v>
      </c>
      <c r="F183" s="18" t="str">
        <f>IF(Технологии!BH40="","",Технологии!BH40)</f>
        <v/>
      </c>
      <c r="G183" s="18" t="s">
        <v>499</v>
      </c>
      <c r="J183" s="21">
        <f>0</f>
        <v>0</v>
      </c>
      <c r="K183" s="21">
        <f>IF(Технологии!AR40="ИЗУЧЕНО",$E183,0)</f>
        <v>0</v>
      </c>
      <c r="L183" s="21">
        <f>IF(Технологии!AS40="ИЗУЧЕНО",$E183,0)</f>
        <v>0</v>
      </c>
      <c r="M183" s="21">
        <f>IF(Технологии!AT40="ИЗУЧЕНО",$E183,0)</f>
        <v>0</v>
      </c>
      <c r="N183" s="21">
        <f>IF(Технологии!AU40="ИЗУЧЕНО",$E183,0)</f>
        <v>0</v>
      </c>
      <c r="O183" s="21">
        <f>IF(Технологии!AV40="ИЗУЧЕНО",$E183,0)</f>
        <v>0</v>
      </c>
      <c r="P183" s="21">
        <f>IF(Технологии!AW40="ИЗУЧЕНО",$E183,0)</f>
        <v>0</v>
      </c>
      <c r="Q183" s="21">
        <f>IF(Технологии!AX40="ИЗУЧЕНО",$E183,0)</f>
        <v>0</v>
      </c>
      <c r="R183" s="21">
        <f>IF(Технологии!AY40="ИЗУЧЕНО",$E183,0)</f>
        <v>0</v>
      </c>
      <c r="S183" s="21">
        <f>IF(Технологии!AZ40="ИЗУЧЕНО",$E183,0)</f>
        <v>0</v>
      </c>
      <c r="T183" s="21">
        <f>IF(Технологии!BA40="ИЗУЧЕНО",$E183,0)</f>
        <v>0</v>
      </c>
      <c r="U183" s="21">
        <f>IF(Технологии!BB40="ИЗУЧЕНО",$E183,0)</f>
        <v>0</v>
      </c>
      <c r="V183" s="21">
        <f>IF(Технологии!BC40="ИЗУЧЕНО",$E183,0)</f>
        <v>0</v>
      </c>
      <c r="W183" s="21">
        <f>IF(Технологии!BD40="ИЗУЧЕНО",$E183,0)</f>
        <v>0</v>
      </c>
      <c r="X183" s="21">
        <f>IF(Технологии!BE40="ИЗУЧЕНО",$E183,0)</f>
        <v>0</v>
      </c>
      <c r="Y183" s="21">
        <f>IF(Технологии!BF40="ИЗУЧЕНО",$E183,0)</f>
        <v>0</v>
      </c>
    </row>
    <row r="184" spans="1:25">
      <c r="A184" s="19" t="s">
        <v>192</v>
      </c>
      <c r="B184" s="18" t="s">
        <v>193</v>
      </c>
      <c r="C184" s="18" t="s">
        <v>299</v>
      </c>
      <c r="D184" s="18" t="s">
        <v>387</v>
      </c>
      <c r="E184" s="20">
        <v>0.3</v>
      </c>
      <c r="F184" s="18" t="str">
        <f>IF(Технологии!BH40="","",Технологии!BH40)</f>
        <v/>
      </c>
      <c r="G184" s="18" t="s">
        <v>500</v>
      </c>
      <c r="J184" s="21">
        <f>0</f>
        <v>0</v>
      </c>
      <c r="K184" s="21">
        <f>IF(Технологии!AR40="ИЗУЧЕНО",$E184,0)</f>
        <v>0</v>
      </c>
      <c r="L184" s="21">
        <f>IF(Технологии!AS40="ИЗУЧЕНО",$E184,0)</f>
        <v>0</v>
      </c>
      <c r="M184" s="21">
        <f>IF(Технологии!AT40="ИЗУЧЕНО",$E184,0)</f>
        <v>0</v>
      </c>
      <c r="N184" s="21">
        <f>IF(Технологии!AU40="ИЗУЧЕНО",$E184,0)</f>
        <v>0</v>
      </c>
      <c r="O184" s="21">
        <f>IF(Технологии!AV40="ИЗУЧЕНО",$E184,0)</f>
        <v>0</v>
      </c>
      <c r="P184" s="21">
        <f>IF(Технологии!AW40="ИЗУЧЕНО",$E184,0)</f>
        <v>0</v>
      </c>
      <c r="Q184" s="21">
        <f>IF(Технологии!AX40="ИЗУЧЕНО",$E184,0)</f>
        <v>0</v>
      </c>
      <c r="R184" s="21">
        <f>IF(Технологии!AY40="ИЗУЧЕНО",$E184,0)</f>
        <v>0</v>
      </c>
      <c r="S184" s="21">
        <f>IF(Технологии!AZ40="ИЗУЧЕНО",$E184,0)</f>
        <v>0</v>
      </c>
      <c r="T184" s="21">
        <f>IF(Технологии!BA40="ИЗУЧЕНО",$E184,0)</f>
        <v>0</v>
      </c>
      <c r="U184" s="21">
        <f>IF(Технологии!BB40="ИЗУЧЕНО",$E184,0)</f>
        <v>0</v>
      </c>
      <c r="V184" s="21">
        <f>IF(Технологии!BC40="ИЗУЧЕНО",$E184,0)</f>
        <v>0</v>
      </c>
      <c r="W184" s="21">
        <f>IF(Технологии!BD40="ИЗУЧЕНО",$E184,0)</f>
        <v>0</v>
      </c>
      <c r="X184" s="21">
        <f>IF(Технологии!BE40="ИЗУЧЕНО",$E184,0)</f>
        <v>0</v>
      </c>
      <c r="Y184" s="21">
        <f>IF(Технологии!BF40="ИЗУЧЕНО",$E184,0)</f>
        <v>0</v>
      </c>
    </row>
    <row r="185" spans="1:25">
      <c r="A185" s="19" t="s">
        <v>192</v>
      </c>
      <c r="B185" s="18" t="s">
        <v>193</v>
      </c>
      <c r="C185" s="18" t="s">
        <v>297</v>
      </c>
      <c r="D185" s="18" t="s">
        <v>387</v>
      </c>
      <c r="E185" s="20">
        <v>0.2</v>
      </c>
      <c r="F185" s="18" t="str">
        <f>IF(Технологии!BH40="","",Технологии!BH40)</f>
        <v/>
      </c>
      <c r="G185" s="18" t="s">
        <v>501</v>
      </c>
      <c r="J185" s="21">
        <f>0</f>
        <v>0</v>
      </c>
      <c r="K185" s="21">
        <f>IF(Технологии!AR40="ИЗУЧЕНО",$E185,0)</f>
        <v>0</v>
      </c>
      <c r="L185" s="21">
        <f>IF(Технологии!AS40="ИЗУЧЕНО",$E185,0)</f>
        <v>0</v>
      </c>
      <c r="M185" s="21">
        <f>IF(Технологии!AT40="ИЗУЧЕНО",$E185,0)</f>
        <v>0</v>
      </c>
      <c r="N185" s="21">
        <f>IF(Технологии!AU40="ИЗУЧЕНО",$E185,0)</f>
        <v>0</v>
      </c>
      <c r="O185" s="21">
        <f>IF(Технологии!AV40="ИЗУЧЕНО",$E185,0)</f>
        <v>0</v>
      </c>
      <c r="P185" s="21">
        <f>IF(Технологии!AW40="ИЗУЧЕНО",$E185,0)</f>
        <v>0</v>
      </c>
      <c r="Q185" s="21">
        <f>IF(Технологии!AX40="ИЗУЧЕНО",$E185,0)</f>
        <v>0</v>
      </c>
      <c r="R185" s="21">
        <f>IF(Технологии!AY40="ИЗУЧЕНО",$E185,0)</f>
        <v>0</v>
      </c>
      <c r="S185" s="21">
        <f>IF(Технологии!AZ40="ИЗУЧЕНО",$E185,0)</f>
        <v>0</v>
      </c>
      <c r="T185" s="21">
        <f>IF(Технологии!BA40="ИЗУЧЕНО",$E185,0)</f>
        <v>0</v>
      </c>
      <c r="U185" s="21">
        <f>IF(Технологии!BB40="ИЗУЧЕНО",$E185,0)</f>
        <v>0</v>
      </c>
      <c r="V185" s="21">
        <f>IF(Технологии!BC40="ИЗУЧЕНО",$E185,0)</f>
        <v>0</v>
      </c>
      <c r="W185" s="21">
        <f>IF(Технологии!BD40="ИЗУЧЕНО",$E185,0)</f>
        <v>0</v>
      </c>
      <c r="X185" s="21">
        <f>IF(Технологии!BE40="ИЗУЧЕНО",$E185,0)</f>
        <v>0</v>
      </c>
      <c r="Y185" s="21">
        <f>IF(Технологии!BF40="ИЗУЧЕНО",$E185,0)</f>
        <v>0</v>
      </c>
    </row>
    <row r="186" spans="1:25">
      <c r="A186" s="19" t="s">
        <v>192</v>
      </c>
      <c r="B186" s="18" t="s">
        <v>193</v>
      </c>
      <c r="C186" s="18" t="s">
        <v>277</v>
      </c>
      <c r="D186" s="18" t="s">
        <v>414</v>
      </c>
      <c r="E186" s="20">
        <v>0.1</v>
      </c>
      <c r="F186" s="18" t="str">
        <f>IF(Технологии!BH40="","",Технологии!BH40)</f>
        <v/>
      </c>
      <c r="G186" s="18" t="s">
        <v>480</v>
      </c>
      <c r="J186" s="21">
        <f>0</f>
        <v>0</v>
      </c>
      <c r="K186" s="21">
        <f>IF(Технологии!AR40="ИЗУЧЕНО",$E186,0)</f>
        <v>0</v>
      </c>
      <c r="L186" s="21">
        <f>IF(Технологии!AS40="ИЗУЧЕНО",$E186,0)</f>
        <v>0</v>
      </c>
      <c r="M186" s="21">
        <f>IF(Технологии!AT40="ИЗУЧЕНО",$E186,0)</f>
        <v>0</v>
      </c>
      <c r="N186" s="21">
        <f>IF(Технологии!AU40="ИЗУЧЕНО",$E186,0)</f>
        <v>0</v>
      </c>
      <c r="O186" s="21">
        <f>IF(Технологии!AV40="ИЗУЧЕНО",$E186,0)</f>
        <v>0</v>
      </c>
      <c r="P186" s="21">
        <f>IF(Технологии!AW40="ИЗУЧЕНО",$E186,0)</f>
        <v>0</v>
      </c>
      <c r="Q186" s="21">
        <f>IF(Технологии!AX40="ИЗУЧЕНО",$E186,0)</f>
        <v>0</v>
      </c>
      <c r="R186" s="21">
        <f>IF(Технологии!AY40="ИЗУЧЕНО",$E186,0)</f>
        <v>0</v>
      </c>
      <c r="S186" s="21">
        <f>IF(Технологии!AZ40="ИЗУЧЕНО",$E186,0)</f>
        <v>0</v>
      </c>
      <c r="T186" s="21">
        <f>IF(Технологии!BA40="ИЗУЧЕНО",$E186,0)</f>
        <v>0</v>
      </c>
      <c r="U186" s="21">
        <f>IF(Технологии!BB40="ИЗУЧЕНО",$E186,0)</f>
        <v>0</v>
      </c>
      <c r="V186" s="21">
        <f>IF(Технологии!BC40="ИЗУЧЕНО",$E186,0)</f>
        <v>0</v>
      </c>
      <c r="W186" s="21">
        <f>IF(Технологии!BD40="ИЗУЧЕНО",$E186,0)</f>
        <v>0</v>
      </c>
      <c r="X186" s="21">
        <f>IF(Технологии!BE40="ИЗУЧЕНО",$E186,0)</f>
        <v>0</v>
      </c>
      <c r="Y186" s="21">
        <f>IF(Технологии!BF40="ИЗУЧЕНО",$E186,0)</f>
        <v>0</v>
      </c>
    </row>
    <row r="187" spans="1:25">
      <c r="A187" s="19" t="s">
        <v>192</v>
      </c>
      <c r="B187" s="18" t="s">
        <v>193</v>
      </c>
      <c r="C187" s="18" t="s">
        <v>376</v>
      </c>
      <c r="D187" s="18" t="s">
        <v>405</v>
      </c>
      <c r="E187" s="20">
        <v>0.15</v>
      </c>
      <c r="F187" s="18" t="str">
        <f>IF(Технологии!BH40="","",Технологии!BH40)</f>
        <v/>
      </c>
      <c r="G187" s="18" t="s">
        <v>502</v>
      </c>
      <c r="J187" s="21">
        <f>0</f>
        <v>0</v>
      </c>
      <c r="K187" s="21">
        <f>IF(Технологии!AR40="ИЗУЧЕНО",$E187,0)</f>
        <v>0</v>
      </c>
      <c r="L187" s="21">
        <f>IF(Технологии!AS40="ИЗУЧЕНО",$E187,0)</f>
        <v>0</v>
      </c>
      <c r="M187" s="21">
        <f>IF(Технологии!AT40="ИЗУЧЕНО",$E187,0)</f>
        <v>0</v>
      </c>
      <c r="N187" s="21">
        <f>IF(Технологии!AU40="ИЗУЧЕНО",$E187,0)</f>
        <v>0</v>
      </c>
      <c r="O187" s="21">
        <f>IF(Технологии!AV40="ИЗУЧЕНО",$E187,0)</f>
        <v>0</v>
      </c>
      <c r="P187" s="21">
        <f>IF(Технологии!AW40="ИЗУЧЕНО",$E187,0)</f>
        <v>0</v>
      </c>
      <c r="Q187" s="21">
        <f>IF(Технологии!AX40="ИЗУЧЕНО",$E187,0)</f>
        <v>0</v>
      </c>
      <c r="R187" s="21">
        <f>IF(Технологии!AY40="ИЗУЧЕНО",$E187,0)</f>
        <v>0</v>
      </c>
      <c r="S187" s="21">
        <f>IF(Технологии!AZ40="ИЗУЧЕНО",$E187,0)</f>
        <v>0</v>
      </c>
      <c r="T187" s="21">
        <f>IF(Технологии!BA40="ИЗУЧЕНО",$E187,0)</f>
        <v>0</v>
      </c>
      <c r="U187" s="21">
        <f>IF(Технологии!BB40="ИЗУЧЕНО",$E187,0)</f>
        <v>0</v>
      </c>
      <c r="V187" s="21">
        <f>IF(Технологии!BC40="ИЗУЧЕНО",$E187,0)</f>
        <v>0</v>
      </c>
      <c r="W187" s="21">
        <f>IF(Технологии!BD40="ИЗУЧЕНО",$E187,0)</f>
        <v>0</v>
      </c>
      <c r="X187" s="21">
        <f>IF(Технологии!BE40="ИЗУЧЕНО",$E187,0)</f>
        <v>0</v>
      </c>
      <c r="Y187" s="21">
        <f>IF(Технологии!BF40="ИЗУЧЕНО",$E187,0)</f>
        <v>0</v>
      </c>
    </row>
    <row r="188" spans="1:25">
      <c r="A188" s="19" t="s">
        <v>192</v>
      </c>
      <c r="B188" s="18" t="s">
        <v>193</v>
      </c>
      <c r="C188" s="18" t="s">
        <v>256</v>
      </c>
      <c r="D188" s="18" t="s">
        <v>387</v>
      </c>
      <c r="E188" s="20">
        <v>-0.45</v>
      </c>
      <c r="F188" s="18" t="str">
        <f>IF(Технологии!BH40="","",Технологии!BH40)</f>
        <v/>
      </c>
      <c r="G188" s="18" t="s">
        <v>417</v>
      </c>
      <c r="J188" s="21">
        <f>0</f>
        <v>0</v>
      </c>
      <c r="K188" s="21">
        <f>IF(Технологии!AR40="ИЗУЧЕНО",$E188,0)</f>
        <v>0</v>
      </c>
      <c r="L188" s="21">
        <f>IF(Технологии!AS40="ИЗУЧЕНО",$E188,0)</f>
        <v>0</v>
      </c>
      <c r="M188" s="21">
        <f>IF(Технологии!AT40="ИЗУЧЕНО",$E188,0)</f>
        <v>0</v>
      </c>
      <c r="N188" s="21">
        <f>IF(Технологии!AU40="ИЗУЧЕНО",$E188,0)</f>
        <v>0</v>
      </c>
      <c r="O188" s="21">
        <f>IF(Технологии!AV40="ИЗУЧЕНО",$E188,0)</f>
        <v>0</v>
      </c>
      <c r="P188" s="21">
        <f>IF(Технологии!AW40="ИЗУЧЕНО",$E188,0)</f>
        <v>0</v>
      </c>
      <c r="Q188" s="21">
        <f>IF(Технологии!AX40="ИЗУЧЕНО",$E188,0)</f>
        <v>0</v>
      </c>
      <c r="R188" s="21">
        <f>IF(Технологии!AY40="ИЗУЧЕНО",$E188,0)</f>
        <v>0</v>
      </c>
      <c r="S188" s="21">
        <f>IF(Технологии!AZ40="ИЗУЧЕНО",$E188,0)</f>
        <v>0</v>
      </c>
      <c r="T188" s="21">
        <f>IF(Технологии!BA40="ИЗУЧЕНО",$E188,0)</f>
        <v>0</v>
      </c>
      <c r="U188" s="21">
        <f>IF(Технологии!BB40="ИЗУЧЕНО",$E188,0)</f>
        <v>0</v>
      </c>
      <c r="V188" s="21">
        <f>IF(Технологии!BC40="ИЗУЧЕНО",$E188,0)</f>
        <v>0</v>
      </c>
      <c r="W188" s="21">
        <f>IF(Технологии!BD40="ИЗУЧЕНО",$E188,0)</f>
        <v>0</v>
      </c>
      <c r="X188" s="21">
        <f>IF(Технологии!BE40="ИЗУЧЕНО",$E188,0)</f>
        <v>0</v>
      </c>
      <c r="Y188" s="21">
        <f>IF(Технологии!BF40="ИЗУЧЕНО",$E188,0)</f>
        <v>0</v>
      </c>
    </row>
    <row r="189" spans="1:25">
      <c r="A189" s="19" t="s">
        <v>192</v>
      </c>
      <c r="B189" s="18" t="s">
        <v>193</v>
      </c>
      <c r="C189" s="18" t="s">
        <v>260</v>
      </c>
      <c r="D189" s="18" t="s">
        <v>387</v>
      </c>
      <c r="E189" s="20">
        <v>-0.4</v>
      </c>
      <c r="F189" s="18" t="str">
        <f>IF(Технологии!BH40="","",Технологии!BH40)</f>
        <v/>
      </c>
      <c r="G189" s="18" t="s">
        <v>441</v>
      </c>
      <c r="J189" s="21">
        <f>0</f>
        <v>0</v>
      </c>
      <c r="K189" s="21">
        <f>IF(Технологии!AR40="ИЗУЧЕНО",$E189,0)</f>
        <v>0</v>
      </c>
      <c r="L189" s="21">
        <f>IF(Технологии!AS40="ИЗУЧЕНО",$E189,0)</f>
        <v>0</v>
      </c>
      <c r="M189" s="21">
        <f>IF(Технологии!AT40="ИЗУЧЕНО",$E189,0)</f>
        <v>0</v>
      </c>
      <c r="N189" s="21">
        <f>IF(Технологии!AU40="ИЗУЧЕНО",$E189,0)</f>
        <v>0</v>
      </c>
      <c r="O189" s="21">
        <f>IF(Технологии!AV40="ИЗУЧЕНО",$E189,0)</f>
        <v>0</v>
      </c>
      <c r="P189" s="21">
        <f>IF(Технологии!AW40="ИЗУЧЕНО",$E189,0)</f>
        <v>0</v>
      </c>
      <c r="Q189" s="21">
        <f>IF(Технологии!AX40="ИЗУЧЕНО",$E189,0)</f>
        <v>0</v>
      </c>
      <c r="R189" s="21">
        <f>IF(Технологии!AY40="ИЗУЧЕНО",$E189,0)</f>
        <v>0</v>
      </c>
      <c r="S189" s="21">
        <f>IF(Технологии!AZ40="ИЗУЧЕНО",$E189,0)</f>
        <v>0</v>
      </c>
      <c r="T189" s="21">
        <f>IF(Технологии!BA40="ИЗУЧЕНО",$E189,0)</f>
        <v>0</v>
      </c>
      <c r="U189" s="21">
        <f>IF(Технологии!BB40="ИЗУЧЕНО",$E189,0)</f>
        <v>0</v>
      </c>
      <c r="V189" s="21">
        <f>IF(Технологии!BC40="ИЗУЧЕНО",$E189,0)</f>
        <v>0</v>
      </c>
      <c r="W189" s="21">
        <f>IF(Технологии!BD40="ИЗУЧЕНО",$E189,0)</f>
        <v>0</v>
      </c>
      <c r="X189" s="21">
        <f>IF(Технологии!BE40="ИЗУЧЕНО",$E189,0)</f>
        <v>0</v>
      </c>
      <c r="Y189" s="21">
        <f>IF(Технологии!BF40="ИЗУЧЕНО",$E189,0)</f>
        <v>0</v>
      </c>
    </row>
    <row r="190" spans="1:25">
      <c r="A190" s="19" t="s">
        <v>192</v>
      </c>
      <c r="B190" s="18" t="s">
        <v>193</v>
      </c>
      <c r="C190" s="18" t="s">
        <v>266</v>
      </c>
      <c r="D190" s="18" t="s">
        <v>387</v>
      </c>
      <c r="E190" s="20">
        <v>-0.3</v>
      </c>
      <c r="F190" s="18" t="str">
        <f>IF(Технологии!BH40="","",Технологии!BH40)</f>
        <v/>
      </c>
      <c r="G190" s="18" t="s">
        <v>503</v>
      </c>
      <c r="J190" s="21">
        <f>0</f>
        <v>0</v>
      </c>
      <c r="K190" s="21">
        <f>IF(Технологии!AR40="ИЗУЧЕНО",$E190,0)</f>
        <v>0</v>
      </c>
      <c r="L190" s="21">
        <f>IF(Технологии!AS40="ИЗУЧЕНО",$E190,0)</f>
        <v>0</v>
      </c>
      <c r="M190" s="21">
        <f>IF(Технологии!AT40="ИЗУЧЕНО",$E190,0)</f>
        <v>0</v>
      </c>
      <c r="N190" s="21">
        <f>IF(Технологии!AU40="ИЗУЧЕНО",$E190,0)</f>
        <v>0</v>
      </c>
      <c r="O190" s="21">
        <f>IF(Технологии!AV40="ИЗУЧЕНО",$E190,0)</f>
        <v>0</v>
      </c>
      <c r="P190" s="21">
        <f>IF(Технологии!AW40="ИЗУЧЕНО",$E190,0)</f>
        <v>0</v>
      </c>
      <c r="Q190" s="21">
        <f>IF(Технологии!AX40="ИЗУЧЕНО",$E190,0)</f>
        <v>0</v>
      </c>
      <c r="R190" s="21">
        <f>IF(Технологии!AY40="ИЗУЧЕНО",$E190,0)</f>
        <v>0</v>
      </c>
      <c r="S190" s="21">
        <f>IF(Технологии!AZ40="ИЗУЧЕНО",$E190,0)</f>
        <v>0</v>
      </c>
      <c r="T190" s="21">
        <f>IF(Технологии!BA40="ИЗУЧЕНО",$E190,0)</f>
        <v>0</v>
      </c>
      <c r="U190" s="21">
        <f>IF(Технологии!BB40="ИЗУЧЕНО",$E190,0)</f>
        <v>0</v>
      </c>
      <c r="V190" s="21">
        <f>IF(Технологии!BC40="ИЗУЧЕНО",$E190,0)</f>
        <v>0</v>
      </c>
      <c r="W190" s="21">
        <f>IF(Технологии!BD40="ИЗУЧЕНО",$E190,0)</f>
        <v>0</v>
      </c>
      <c r="X190" s="21">
        <f>IF(Технологии!BE40="ИЗУЧЕНО",$E190,0)</f>
        <v>0</v>
      </c>
      <c r="Y190" s="21">
        <f>IF(Технологии!BF40="ИЗУЧЕНО",$E190,0)</f>
        <v>0</v>
      </c>
    </row>
    <row r="191" spans="1:25">
      <c r="A191" s="19" t="s">
        <v>192</v>
      </c>
      <c r="B191" s="18" t="s">
        <v>193</v>
      </c>
      <c r="C191" s="18" t="s">
        <v>268</v>
      </c>
      <c r="D191" s="18" t="s">
        <v>387</v>
      </c>
      <c r="E191" s="20">
        <v>-0.25</v>
      </c>
      <c r="F191" s="18" t="str">
        <f>IF(Технологии!BH40="","",Технологии!BH40)</f>
        <v/>
      </c>
      <c r="G191" s="18" t="s">
        <v>504</v>
      </c>
      <c r="J191" s="21">
        <f>0</f>
        <v>0</v>
      </c>
      <c r="K191" s="21">
        <f>IF(Технологии!AR40="ИЗУЧЕНО",$E191,0)</f>
        <v>0</v>
      </c>
      <c r="L191" s="21">
        <f>IF(Технологии!AS40="ИЗУЧЕНО",$E191,0)</f>
        <v>0</v>
      </c>
      <c r="M191" s="21">
        <f>IF(Технологии!AT40="ИЗУЧЕНО",$E191,0)</f>
        <v>0</v>
      </c>
      <c r="N191" s="21">
        <f>IF(Технологии!AU40="ИЗУЧЕНО",$E191,0)</f>
        <v>0</v>
      </c>
      <c r="O191" s="21">
        <f>IF(Технологии!AV40="ИЗУЧЕНО",$E191,0)</f>
        <v>0</v>
      </c>
      <c r="P191" s="21">
        <f>IF(Технологии!AW40="ИЗУЧЕНО",$E191,0)</f>
        <v>0</v>
      </c>
      <c r="Q191" s="21">
        <f>IF(Технологии!AX40="ИЗУЧЕНО",$E191,0)</f>
        <v>0</v>
      </c>
      <c r="R191" s="21">
        <f>IF(Технологии!AY40="ИЗУЧЕНО",$E191,0)</f>
        <v>0</v>
      </c>
      <c r="S191" s="21">
        <f>IF(Технологии!AZ40="ИЗУЧЕНО",$E191,0)</f>
        <v>0</v>
      </c>
      <c r="T191" s="21">
        <f>IF(Технологии!BA40="ИЗУЧЕНО",$E191,0)</f>
        <v>0</v>
      </c>
      <c r="U191" s="21">
        <f>IF(Технологии!BB40="ИЗУЧЕНО",$E191,0)</f>
        <v>0</v>
      </c>
      <c r="V191" s="21">
        <f>IF(Технологии!BC40="ИЗУЧЕНО",$E191,0)</f>
        <v>0</v>
      </c>
      <c r="W191" s="21">
        <f>IF(Технологии!BD40="ИЗУЧЕНО",$E191,0)</f>
        <v>0</v>
      </c>
      <c r="X191" s="21">
        <f>IF(Технологии!BE40="ИЗУЧЕНО",$E191,0)</f>
        <v>0</v>
      </c>
      <c r="Y191" s="21">
        <f>IF(Технологии!BF40="ИЗУЧЕНО",$E191,0)</f>
        <v>0</v>
      </c>
    </row>
    <row r="192" spans="1:25">
      <c r="A192" s="19" t="s">
        <v>196</v>
      </c>
      <c r="B192" s="18" t="s">
        <v>198</v>
      </c>
      <c r="C192" s="18" t="s">
        <v>292</v>
      </c>
      <c r="D192" s="18" t="s">
        <v>387</v>
      </c>
      <c r="E192" s="20">
        <v>0.3</v>
      </c>
      <c r="F192" s="18" t="str">
        <f>IF(Технологии!BH41="","",Технологии!BH41)</f>
        <v/>
      </c>
      <c r="G192" s="18" t="s">
        <v>505</v>
      </c>
      <c r="J192" s="21">
        <f>0</f>
        <v>0</v>
      </c>
      <c r="K192" s="21">
        <f>IF(Технологии!AR41="ИЗУЧЕНО",$E192,0)</f>
        <v>0</v>
      </c>
      <c r="L192" s="21">
        <f>IF(Технологии!AS41="ИЗУЧЕНО",$E192,0)</f>
        <v>0</v>
      </c>
      <c r="M192" s="21">
        <f>IF(Технологии!AT41="ИЗУЧЕНО",$E192,0)</f>
        <v>0</v>
      </c>
      <c r="N192" s="21">
        <f>IF(Технологии!AU41="ИЗУЧЕНО",$E192,0)</f>
        <v>0</v>
      </c>
      <c r="O192" s="21">
        <f>IF(Технологии!AV41="ИЗУЧЕНО",$E192,0)</f>
        <v>0</v>
      </c>
      <c r="P192" s="21">
        <f>IF(Технологии!AW41="ИЗУЧЕНО",$E192,0)</f>
        <v>0</v>
      </c>
      <c r="Q192" s="21">
        <f>IF(Технологии!AX41="ИЗУЧЕНО",$E192,0)</f>
        <v>0</v>
      </c>
      <c r="R192" s="21">
        <f>IF(Технологии!AY41="ИЗУЧЕНО",$E192,0)</f>
        <v>0</v>
      </c>
      <c r="S192" s="21">
        <f>IF(Технологии!AZ41="ИЗУЧЕНО",$E192,0)</f>
        <v>0</v>
      </c>
      <c r="T192" s="21">
        <f>IF(Технологии!BA41="ИЗУЧЕНО",$E192,0)</f>
        <v>0</v>
      </c>
      <c r="U192" s="21">
        <f>IF(Технологии!BB41="ИЗУЧЕНО",$E192,0)</f>
        <v>0</v>
      </c>
      <c r="V192" s="21">
        <f>IF(Технологии!BC41="ИЗУЧЕНО",$E192,0)</f>
        <v>0</v>
      </c>
      <c r="W192" s="21">
        <f>IF(Технологии!BD41="ИЗУЧЕНО",$E192,0)</f>
        <v>0</v>
      </c>
      <c r="X192" s="21">
        <f>IF(Технологии!BE41="ИЗУЧЕНО",$E192,0)</f>
        <v>0</v>
      </c>
      <c r="Y192" s="21">
        <f>IF(Технологии!BF41="ИЗУЧЕНО",$E192,0)</f>
        <v>0</v>
      </c>
    </row>
    <row r="193" spans="1:25">
      <c r="A193" s="19" t="s">
        <v>201</v>
      </c>
      <c r="B193" s="18" t="s">
        <v>202</v>
      </c>
      <c r="C193" s="18" t="s">
        <v>293</v>
      </c>
      <c r="D193" s="18" t="s">
        <v>387</v>
      </c>
      <c r="E193" s="20">
        <v>0.2</v>
      </c>
      <c r="F193" s="18" t="str">
        <f>IF(Технологии!BH42="","",Технологии!BH42)</f>
        <v/>
      </c>
      <c r="G193" s="18" t="s">
        <v>449</v>
      </c>
      <c r="J193" s="21">
        <f>0</f>
        <v>0</v>
      </c>
      <c r="K193" s="21">
        <f>IF(Технологии!AR42="ИЗУЧЕНО",$E193,0)</f>
        <v>0</v>
      </c>
      <c r="L193" s="21">
        <f>IF(Технологии!AS42="ИЗУЧЕНО",$E193,0)</f>
        <v>0</v>
      </c>
      <c r="M193" s="21">
        <f>IF(Технологии!AT42="ИЗУЧЕНО",$E193,0)</f>
        <v>0</v>
      </c>
      <c r="N193" s="21">
        <f>IF(Технологии!AU42="ИЗУЧЕНО",$E193,0)</f>
        <v>0</v>
      </c>
      <c r="O193" s="21">
        <f>IF(Технологии!AV42="ИЗУЧЕНО",$E193,0)</f>
        <v>0</v>
      </c>
      <c r="P193" s="21">
        <f>IF(Технологии!AW42="ИЗУЧЕНО",$E193,0)</f>
        <v>0</v>
      </c>
      <c r="Q193" s="21">
        <f>IF(Технологии!AX42="ИЗУЧЕНО",$E193,0)</f>
        <v>0</v>
      </c>
      <c r="R193" s="21">
        <f>IF(Технологии!AY42="ИЗУЧЕНО",$E193,0)</f>
        <v>0</v>
      </c>
      <c r="S193" s="21">
        <f>IF(Технологии!AZ42="ИЗУЧЕНО",$E193,0)</f>
        <v>0</v>
      </c>
      <c r="T193" s="21">
        <f>IF(Технологии!BA42="ИЗУЧЕНО",$E193,0)</f>
        <v>0</v>
      </c>
      <c r="U193" s="21">
        <f>IF(Технологии!BB42="ИЗУЧЕНО",$E193,0)</f>
        <v>0</v>
      </c>
      <c r="V193" s="21">
        <f>IF(Технологии!BC42="ИЗУЧЕНО",$E193,0)</f>
        <v>0</v>
      </c>
      <c r="W193" s="21">
        <f>IF(Технологии!BD42="ИЗУЧЕНО",$E193,0)</f>
        <v>0</v>
      </c>
      <c r="X193" s="21">
        <f>IF(Технологии!BE42="ИЗУЧЕНО",$E193,0)</f>
        <v>0</v>
      </c>
      <c r="Y193" s="21">
        <f>IF(Технологии!BF42="ИЗУЧЕНО",$E193,0)</f>
        <v>0</v>
      </c>
    </row>
    <row r="194" spans="1:25">
      <c r="A194" s="19" t="s">
        <v>201</v>
      </c>
      <c r="B194" s="18" t="s">
        <v>202</v>
      </c>
      <c r="C194" s="18" t="s">
        <v>311</v>
      </c>
      <c r="D194" s="18" t="s">
        <v>387</v>
      </c>
      <c r="E194" s="20">
        <v>0.2</v>
      </c>
      <c r="F194" s="18" t="str">
        <f>IF(Технологии!BH42="","",Технологии!BH42)</f>
        <v/>
      </c>
      <c r="G194" s="18" t="s">
        <v>506</v>
      </c>
      <c r="J194" s="21">
        <f>0</f>
        <v>0</v>
      </c>
      <c r="K194" s="21">
        <f>IF(Технологии!AR42="ИЗУЧЕНО",$E194,0)</f>
        <v>0</v>
      </c>
      <c r="L194" s="21">
        <f>IF(Технологии!AS42="ИЗУЧЕНО",$E194,0)</f>
        <v>0</v>
      </c>
      <c r="M194" s="21">
        <f>IF(Технологии!AT42="ИЗУЧЕНО",$E194,0)</f>
        <v>0</v>
      </c>
      <c r="N194" s="21">
        <f>IF(Технологии!AU42="ИЗУЧЕНО",$E194,0)</f>
        <v>0</v>
      </c>
      <c r="O194" s="21">
        <f>IF(Технологии!AV42="ИЗУЧЕНО",$E194,0)</f>
        <v>0</v>
      </c>
      <c r="P194" s="21">
        <f>IF(Технологии!AW42="ИЗУЧЕНО",$E194,0)</f>
        <v>0</v>
      </c>
      <c r="Q194" s="21">
        <f>IF(Технологии!AX42="ИЗУЧЕНО",$E194,0)</f>
        <v>0</v>
      </c>
      <c r="R194" s="21">
        <f>IF(Технологии!AY42="ИЗУЧЕНО",$E194,0)</f>
        <v>0</v>
      </c>
      <c r="S194" s="21">
        <f>IF(Технологии!AZ42="ИЗУЧЕНО",$E194,0)</f>
        <v>0</v>
      </c>
      <c r="T194" s="21">
        <f>IF(Технологии!BA42="ИЗУЧЕНО",$E194,0)</f>
        <v>0</v>
      </c>
      <c r="U194" s="21">
        <f>IF(Технологии!BB42="ИЗУЧЕНО",$E194,0)</f>
        <v>0</v>
      </c>
      <c r="V194" s="21">
        <f>IF(Технологии!BC42="ИЗУЧЕНО",$E194,0)</f>
        <v>0</v>
      </c>
      <c r="W194" s="21">
        <f>IF(Технологии!BD42="ИЗУЧЕНО",$E194,0)</f>
        <v>0</v>
      </c>
      <c r="X194" s="21">
        <f>IF(Технологии!BE42="ИЗУЧЕНО",$E194,0)</f>
        <v>0</v>
      </c>
      <c r="Y194" s="21">
        <f>IF(Технологии!BF42="ИЗУЧЕНО",$E194,0)</f>
        <v>0</v>
      </c>
    </row>
    <row r="195" spans="1:25">
      <c r="A195" s="19" t="s">
        <v>201</v>
      </c>
      <c r="B195" s="18" t="s">
        <v>202</v>
      </c>
      <c r="C195" s="18" t="s">
        <v>291</v>
      </c>
      <c r="D195" s="18" t="s">
        <v>387</v>
      </c>
      <c r="E195" s="20">
        <v>-0.1</v>
      </c>
      <c r="F195" s="18" t="str">
        <f>IF(Технологии!BH42="","",Технологии!BH42)</f>
        <v/>
      </c>
      <c r="G195" s="18" t="s">
        <v>507</v>
      </c>
      <c r="J195" s="21">
        <f>0</f>
        <v>0</v>
      </c>
      <c r="K195" s="21">
        <f>IF(Технологии!AR42="ИЗУЧЕНО",$E195,0)</f>
        <v>0</v>
      </c>
      <c r="L195" s="21">
        <f>IF(Технологии!AS42="ИЗУЧЕНО",$E195,0)</f>
        <v>0</v>
      </c>
      <c r="M195" s="21">
        <f>IF(Технологии!AT42="ИЗУЧЕНО",$E195,0)</f>
        <v>0</v>
      </c>
      <c r="N195" s="21">
        <f>IF(Технологии!AU42="ИЗУЧЕНО",$E195,0)</f>
        <v>0</v>
      </c>
      <c r="O195" s="21">
        <f>IF(Технологии!AV42="ИЗУЧЕНО",$E195,0)</f>
        <v>0</v>
      </c>
      <c r="P195" s="21">
        <f>IF(Технологии!AW42="ИЗУЧЕНО",$E195,0)</f>
        <v>0</v>
      </c>
      <c r="Q195" s="21">
        <f>IF(Технологии!AX42="ИЗУЧЕНО",$E195,0)</f>
        <v>0</v>
      </c>
      <c r="R195" s="21">
        <f>IF(Технологии!AY42="ИЗУЧЕНО",$E195,0)</f>
        <v>0</v>
      </c>
      <c r="S195" s="21">
        <f>IF(Технологии!AZ42="ИЗУЧЕНО",$E195,0)</f>
        <v>0</v>
      </c>
      <c r="T195" s="21">
        <f>IF(Технологии!BA42="ИЗУЧЕНО",$E195,0)</f>
        <v>0</v>
      </c>
      <c r="U195" s="21">
        <f>IF(Технологии!BB42="ИЗУЧЕНО",$E195,0)</f>
        <v>0</v>
      </c>
      <c r="V195" s="21">
        <f>IF(Технологии!BC42="ИЗУЧЕНО",$E195,0)</f>
        <v>0</v>
      </c>
      <c r="W195" s="21">
        <f>IF(Технологии!BD42="ИЗУЧЕНО",$E195,0)</f>
        <v>0</v>
      </c>
      <c r="X195" s="21">
        <f>IF(Технологии!BE42="ИЗУЧЕНО",$E195,0)</f>
        <v>0</v>
      </c>
      <c r="Y195" s="21">
        <f>IF(Технологии!BF42="ИЗУЧЕНО",$E195,0)</f>
        <v>0</v>
      </c>
    </row>
    <row r="196" spans="1:25">
      <c r="A196" s="19" t="s">
        <v>205</v>
      </c>
      <c r="B196" s="18" t="s">
        <v>206</v>
      </c>
      <c r="C196" s="18" t="s">
        <v>295</v>
      </c>
      <c r="D196" s="18" t="s">
        <v>387</v>
      </c>
      <c r="E196" s="20">
        <v>0.3</v>
      </c>
      <c r="F196" s="18" t="str">
        <f>IF(Технологии!BH43="","",Технологии!BH43)</f>
        <v/>
      </c>
      <c r="G196" s="18" t="s">
        <v>508</v>
      </c>
      <c r="J196" s="21">
        <f>0</f>
        <v>0</v>
      </c>
      <c r="K196" s="21">
        <f>IF(Технологии!AR43="ИЗУЧЕНО",$E196,0)</f>
        <v>0</v>
      </c>
      <c r="L196" s="21">
        <f>IF(Технологии!AS43="ИЗУЧЕНО",$E196,0)</f>
        <v>0</v>
      </c>
      <c r="M196" s="21">
        <f>IF(Технологии!AT43="ИЗУЧЕНО",$E196,0)</f>
        <v>0</v>
      </c>
      <c r="N196" s="21">
        <f>IF(Технологии!AU43="ИЗУЧЕНО",$E196,0)</f>
        <v>0</v>
      </c>
      <c r="O196" s="21">
        <f>IF(Технологии!AV43="ИЗУЧЕНО",$E196,0)</f>
        <v>0</v>
      </c>
      <c r="P196" s="21">
        <f>IF(Технологии!AW43="ИЗУЧЕНО",$E196,0)</f>
        <v>0</v>
      </c>
      <c r="Q196" s="21">
        <f>IF(Технологии!AX43="ИЗУЧЕНО",$E196,0)</f>
        <v>0</v>
      </c>
      <c r="R196" s="21">
        <f>IF(Технологии!AY43="ИЗУЧЕНО",$E196,0)</f>
        <v>0</v>
      </c>
      <c r="S196" s="21">
        <f>IF(Технологии!AZ43="ИЗУЧЕНО",$E196,0)</f>
        <v>0</v>
      </c>
      <c r="T196" s="21">
        <f>IF(Технологии!BA43="ИЗУЧЕНО",$E196,0)</f>
        <v>0</v>
      </c>
      <c r="U196" s="21">
        <f>IF(Технологии!BB43="ИЗУЧЕНО",$E196,0)</f>
        <v>0</v>
      </c>
      <c r="V196" s="21">
        <f>IF(Технологии!BC43="ИЗУЧЕНО",$E196,0)</f>
        <v>0</v>
      </c>
      <c r="W196" s="21">
        <f>IF(Технологии!BD43="ИЗУЧЕНО",$E196,0)</f>
        <v>0</v>
      </c>
      <c r="X196" s="21">
        <f>IF(Технологии!BE43="ИЗУЧЕНО",$E196,0)</f>
        <v>0</v>
      </c>
      <c r="Y196" s="21">
        <f>IF(Технологии!BF43="ИЗУЧЕНО",$E196,0)</f>
        <v>0</v>
      </c>
    </row>
    <row r="197" spans="1:25">
      <c r="A197" s="19" t="s">
        <v>205</v>
      </c>
      <c r="B197" s="18" t="s">
        <v>206</v>
      </c>
      <c r="C197" s="18" t="s">
        <v>284</v>
      </c>
      <c r="D197" s="18" t="s">
        <v>387</v>
      </c>
      <c r="E197" s="20">
        <v>0.2</v>
      </c>
      <c r="F197" s="18" t="str">
        <f>IF(Технологии!BH43="","",Технологии!BH43)</f>
        <v/>
      </c>
      <c r="G197" s="18" t="s">
        <v>398</v>
      </c>
      <c r="J197" s="21">
        <f>0</f>
        <v>0</v>
      </c>
      <c r="K197" s="21">
        <f>IF(Технологии!AR43="ИЗУЧЕНО",$E197,0)</f>
        <v>0</v>
      </c>
      <c r="L197" s="21">
        <f>IF(Технологии!AS43="ИЗУЧЕНО",$E197,0)</f>
        <v>0</v>
      </c>
      <c r="M197" s="21">
        <f>IF(Технологии!AT43="ИЗУЧЕНО",$E197,0)</f>
        <v>0</v>
      </c>
      <c r="N197" s="21">
        <f>IF(Технологии!AU43="ИЗУЧЕНО",$E197,0)</f>
        <v>0</v>
      </c>
      <c r="O197" s="21">
        <f>IF(Технологии!AV43="ИЗУЧЕНО",$E197,0)</f>
        <v>0</v>
      </c>
      <c r="P197" s="21">
        <f>IF(Технологии!AW43="ИЗУЧЕНО",$E197,0)</f>
        <v>0</v>
      </c>
      <c r="Q197" s="21">
        <f>IF(Технологии!AX43="ИЗУЧЕНО",$E197,0)</f>
        <v>0</v>
      </c>
      <c r="R197" s="21">
        <f>IF(Технологии!AY43="ИЗУЧЕНО",$E197,0)</f>
        <v>0</v>
      </c>
      <c r="S197" s="21">
        <f>IF(Технологии!AZ43="ИЗУЧЕНО",$E197,0)</f>
        <v>0</v>
      </c>
      <c r="T197" s="21">
        <f>IF(Технологии!BA43="ИЗУЧЕНО",$E197,0)</f>
        <v>0</v>
      </c>
      <c r="U197" s="21">
        <f>IF(Технологии!BB43="ИЗУЧЕНО",$E197,0)</f>
        <v>0</v>
      </c>
      <c r="V197" s="21">
        <f>IF(Технологии!BC43="ИЗУЧЕНО",$E197,0)</f>
        <v>0</v>
      </c>
      <c r="W197" s="21">
        <f>IF(Технологии!BD43="ИЗУЧЕНО",$E197,0)</f>
        <v>0</v>
      </c>
      <c r="X197" s="21">
        <f>IF(Технологии!BE43="ИЗУЧЕНО",$E197,0)</f>
        <v>0</v>
      </c>
      <c r="Y197" s="21">
        <f>IF(Технологии!BF43="ИЗУЧЕНО",$E197,0)</f>
        <v>0</v>
      </c>
    </row>
    <row r="198" spans="1:25">
      <c r="A198" s="19" t="s">
        <v>205</v>
      </c>
      <c r="B198" s="18" t="s">
        <v>206</v>
      </c>
      <c r="C198" s="18" t="s">
        <v>381</v>
      </c>
      <c r="D198" s="18" t="s">
        <v>405</v>
      </c>
      <c r="E198" s="20">
        <v>0.1</v>
      </c>
      <c r="F198" s="18" t="str">
        <f>IF(Технологии!BH43="","",Технологии!BH43)</f>
        <v/>
      </c>
      <c r="G198" s="18" t="s">
        <v>488</v>
      </c>
      <c r="J198" s="21">
        <f>0</f>
        <v>0</v>
      </c>
      <c r="K198" s="21">
        <f>IF(Технологии!AR43="ИЗУЧЕНО",$E198,0)</f>
        <v>0</v>
      </c>
      <c r="L198" s="21">
        <f>IF(Технологии!AS43="ИЗУЧЕНО",$E198,0)</f>
        <v>0</v>
      </c>
      <c r="M198" s="21">
        <f>IF(Технологии!AT43="ИЗУЧЕНО",$E198,0)</f>
        <v>0</v>
      </c>
      <c r="N198" s="21">
        <f>IF(Технологии!AU43="ИЗУЧЕНО",$E198,0)</f>
        <v>0</v>
      </c>
      <c r="O198" s="21">
        <f>IF(Технологии!AV43="ИЗУЧЕНО",$E198,0)</f>
        <v>0</v>
      </c>
      <c r="P198" s="21">
        <f>IF(Технологии!AW43="ИЗУЧЕНО",$E198,0)</f>
        <v>0</v>
      </c>
      <c r="Q198" s="21">
        <f>IF(Технологии!AX43="ИЗУЧЕНО",$E198,0)</f>
        <v>0</v>
      </c>
      <c r="R198" s="21">
        <f>IF(Технологии!AY43="ИЗУЧЕНО",$E198,0)</f>
        <v>0</v>
      </c>
      <c r="S198" s="21">
        <f>IF(Технологии!AZ43="ИЗУЧЕНО",$E198,0)</f>
        <v>0</v>
      </c>
      <c r="T198" s="21">
        <f>IF(Технологии!BA43="ИЗУЧЕНО",$E198,0)</f>
        <v>0</v>
      </c>
      <c r="U198" s="21">
        <f>IF(Технологии!BB43="ИЗУЧЕНО",$E198,0)</f>
        <v>0</v>
      </c>
      <c r="V198" s="21">
        <f>IF(Технологии!BC43="ИЗУЧЕНО",$E198,0)</f>
        <v>0</v>
      </c>
      <c r="W198" s="21">
        <f>IF(Технологии!BD43="ИЗУЧЕНО",$E198,0)</f>
        <v>0</v>
      </c>
      <c r="X198" s="21">
        <f>IF(Технологии!BE43="ИЗУЧЕНО",$E198,0)</f>
        <v>0</v>
      </c>
      <c r="Y198" s="21">
        <f>IF(Технологии!BF43="ИЗУЧЕНО",$E198,0)</f>
        <v>0</v>
      </c>
    </row>
    <row r="199" spans="1:25">
      <c r="A199" s="19" t="s">
        <v>205</v>
      </c>
      <c r="B199" s="18" t="s">
        <v>206</v>
      </c>
      <c r="C199" s="18" t="s">
        <v>303</v>
      </c>
      <c r="D199" s="18" t="s">
        <v>387</v>
      </c>
      <c r="E199" s="20">
        <v>-0.15</v>
      </c>
      <c r="F199" s="18" t="str">
        <f>IF(Технологии!BH43="","",Технологии!BH43)</f>
        <v/>
      </c>
      <c r="G199" s="18" t="s">
        <v>450</v>
      </c>
      <c r="J199" s="21">
        <f>0</f>
        <v>0</v>
      </c>
      <c r="K199" s="21">
        <f>IF(Технологии!AR43="ИЗУЧЕНО",$E199,0)</f>
        <v>0</v>
      </c>
      <c r="L199" s="21">
        <f>IF(Технологии!AS43="ИЗУЧЕНО",$E199,0)</f>
        <v>0</v>
      </c>
      <c r="M199" s="21">
        <f>IF(Технологии!AT43="ИЗУЧЕНО",$E199,0)</f>
        <v>0</v>
      </c>
      <c r="N199" s="21">
        <f>IF(Технологии!AU43="ИЗУЧЕНО",$E199,0)</f>
        <v>0</v>
      </c>
      <c r="O199" s="21">
        <f>IF(Технологии!AV43="ИЗУЧЕНО",$E199,0)</f>
        <v>0</v>
      </c>
      <c r="P199" s="21">
        <f>IF(Технологии!AW43="ИЗУЧЕНО",$E199,0)</f>
        <v>0</v>
      </c>
      <c r="Q199" s="21">
        <f>IF(Технологии!AX43="ИЗУЧЕНО",$E199,0)</f>
        <v>0</v>
      </c>
      <c r="R199" s="21">
        <f>IF(Технологии!AY43="ИЗУЧЕНО",$E199,0)</f>
        <v>0</v>
      </c>
      <c r="S199" s="21">
        <f>IF(Технологии!AZ43="ИЗУЧЕНО",$E199,0)</f>
        <v>0</v>
      </c>
      <c r="T199" s="21">
        <f>IF(Технологии!BA43="ИЗУЧЕНО",$E199,0)</f>
        <v>0</v>
      </c>
      <c r="U199" s="21">
        <f>IF(Технологии!BB43="ИЗУЧЕНО",$E199,0)</f>
        <v>0</v>
      </c>
      <c r="V199" s="21">
        <f>IF(Технологии!BC43="ИЗУЧЕНО",$E199,0)</f>
        <v>0</v>
      </c>
      <c r="W199" s="21">
        <f>IF(Технологии!BD43="ИЗУЧЕНО",$E199,0)</f>
        <v>0</v>
      </c>
      <c r="X199" s="21">
        <f>IF(Технологии!BE43="ИЗУЧЕНО",$E199,0)</f>
        <v>0</v>
      </c>
      <c r="Y199" s="21">
        <f>IF(Технологии!BF43="ИЗУЧЕНО",$E199,0)</f>
        <v>0</v>
      </c>
    </row>
    <row r="200" spans="1:25">
      <c r="A200" s="19" t="s">
        <v>209</v>
      </c>
      <c r="B200" s="18" t="s">
        <v>210</v>
      </c>
      <c r="C200" s="18" t="s">
        <v>292</v>
      </c>
      <c r="D200" s="18" t="s">
        <v>387</v>
      </c>
      <c r="E200" s="20">
        <v>0.4</v>
      </c>
      <c r="F200" s="18" t="str">
        <f>IF(Технологии!BH44="","",Технологии!BH44)</f>
        <v/>
      </c>
      <c r="G200" s="18" t="s">
        <v>509</v>
      </c>
      <c r="J200" s="21">
        <f>0</f>
        <v>0</v>
      </c>
      <c r="K200" s="21">
        <f>IF(Технологии!AR44="ИЗУЧЕНО",$E200,0)</f>
        <v>0</v>
      </c>
      <c r="L200" s="21">
        <f>IF(Технологии!AS44="ИЗУЧЕНО",$E200,0)</f>
        <v>0</v>
      </c>
      <c r="M200" s="21">
        <f>IF(Технологии!AT44="ИЗУЧЕНО",$E200,0)</f>
        <v>0</v>
      </c>
      <c r="N200" s="21">
        <f>IF(Технологии!AU44="ИЗУЧЕНО",$E200,0)</f>
        <v>0</v>
      </c>
      <c r="O200" s="21">
        <f>IF(Технологии!AV44="ИЗУЧЕНО",$E200,0)</f>
        <v>0</v>
      </c>
      <c r="P200" s="21">
        <f>IF(Технологии!AW44="ИЗУЧЕНО",$E200,0)</f>
        <v>0</v>
      </c>
      <c r="Q200" s="21">
        <f>IF(Технологии!AX44="ИЗУЧЕНО",$E200,0)</f>
        <v>0</v>
      </c>
      <c r="R200" s="21">
        <f>IF(Технологии!AY44="ИЗУЧЕНО",$E200,0)</f>
        <v>0</v>
      </c>
      <c r="S200" s="21">
        <f>IF(Технологии!AZ44="ИЗУЧЕНО",$E200,0)</f>
        <v>0</v>
      </c>
      <c r="T200" s="21">
        <f>IF(Технологии!BA44="ИЗУЧЕНО",$E200,0)</f>
        <v>0</v>
      </c>
      <c r="U200" s="21">
        <f>IF(Технологии!BB44="ИЗУЧЕНО",$E200,0)</f>
        <v>0</v>
      </c>
      <c r="V200" s="21">
        <f>IF(Технологии!BC44="ИЗУЧЕНО",$E200,0)</f>
        <v>0</v>
      </c>
      <c r="W200" s="21">
        <f>IF(Технологии!BD44="ИЗУЧЕНО",$E200,0)</f>
        <v>0</v>
      </c>
      <c r="X200" s="21">
        <f>IF(Технологии!BE44="ИЗУЧЕНО",$E200,0)</f>
        <v>0</v>
      </c>
      <c r="Y200" s="21">
        <f>IF(Технологии!BF44="ИЗУЧЕНО",$E200,0)</f>
        <v>0</v>
      </c>
    </row>
    <row r="201" spans="1:25">
      <c r="A201" s="19" t="s">
        <v>209</v>
      </c>
      <c r="B201" s="18" t="s">
        <v>210</v>
      </c>
      <c r="C201" s="18" t="s">
        <v>295</v>
      </c>
      <c r="D201" s="18" t="s">
        <v>414</v>
      </c>
      <c r="E201" s="20">
        <v>0.08</v>
      </c>
      <c r="F201" s="18" t="str">
        <f>IF(Технологии!BH44="","",Технологии!BH44)</f>
        <v/>
      </c>
      <c r="G201" s="18" t="s">
        <v>510</v>
      </c>
      <c r="J201" s="21">
        <f>0</f>
        <v>0</v>
      </c>
      <c r="K201" s="21">
        <f>IF(Технологии!AR44="ИЗУЧЕНО",$E201,0)</f>
        <v>0</v>
      </c>
      <c r="L201" s="21">
        <f>IF(Технологии!AS44="ИЗУЧЕНО",$E201,0)</f>
        <v>0</v>
      </c>
      <c r="M201" s="21">
        <f>IF(Технологии!AT44="ИЗУЧЕНО",$E201,0)</f>
        <v>0</v>
      </c>
      <c r="N201" s="21">
        <f>IF(Технологии!AU44="ИЗУЧЕНО",$E201,0)</f>
        <v>0</v>
      </c>
      <c r="O201" s="21">
        <f>IF(Технологии!AV44="ИЗУЧЕНО",$E201,0)</f>
        <v>0</v>
      </c>
      <c r="P201" s="21">
        <f>IF(Технологии!AW44="ИЗУЧЕНО",$E201,0)</f>
        <v>0</v>
      </c>
      <c r="Q201" s="21">
        <f>IF(Технологии!AX44="ИЗУЧЕНО",$E201,0)</f>
        <v>0</v>
      </c>
      <c r="R201" s="21">
        <f>IF(Технологии!AY44="ИЗУЧЕНО",$E201,0)</f>
        <v>0</v>
      </c>
      <c r="S201" s="21">
        <f>IF(Технологии!AZ44="ИЗУЧЕНО",$E201,0)</f>
        <v>0</v>
      </c>
      <c r="T201" s="21">
        <f>IF(Технологии!BA44="ИЗУЧЕНО",$E201,0)</f>
        <v>0</v>
      </c>
      <c r="U201" s="21">
        <f>IF(Технологии!BB44="ИЗУЧЕНО",$E201,0)</f>
        <v>0</v>
      </c>
      <c r="V201" s="21">
        <f>IF(Технологии!BC44="ИЗУЧЕНО",$E201,0)</f>
        <v>0</v>
      </c>
      <c r="W201" s="21">
        <f>IF(Технологии!BD44="ИЗУЧЕНО",$E201,0)</f>
        <v>0</v>
      </c>
      <c r="X201" s="21">
        <f>IF(Технологии!BE44="ИЗУЧЕНО",$E201,0)</f>
        <v>0</v>
      </c>
      <c r="Y201" s="21">
        <f>IF(Технологии!BF44="ИЗУЧЕНО",$E201,0)</f>
        <v>0</v>
      </c>
    </row>
    <row r="202" spans="1:25">
      <c r="A202" s="19" t="s">
        <v>209</v>
      </c>
      <c r="B202" s="18" t="s">
        <v>210</v>
      </c>
      <c r="C202" s="18" t="s">
        <v>293</v>
      </c>
      <c r="D202" s="18" t="s">
        <v>387</v>
      </c>
      <c r="E202" s="20">
        <v>0.2</v>
      </c>
      <c r="F202" s="18" t="str">
        <f>IF(Технологии!BH44="","",Технологии!BH44)</f>
        <v/>
      </c>
      <c r="G202" s="18" t="s">
        <v>449</v>
      </c>
      <c r="J202" s="21">
        <f>0</f>
        <v>0</v>
      </c>
      <c r="K202" s="21">
        <f>IF(Технологии!AR44="ИЗУЧЕНО",$E202,0)</f>
        <v>0</v>
      </c>
      <c r="L202" s="21">
        <f>IF(Технологии!AS44="ИЗУЧЕНО",$E202,0)</f>
        <v>0</v>
      </c>
      <c r="M202" s="21">
        <f>IF(Технологии!AT44="ИЗУЧЕНО",$E202,0)</f>
        <v>0</v>
      </c>
      <c r="N202" s="21">
        <f>IF(Технологии!AU44="ИЗУЧЕНО",$E202,0)</f>
        <v>0</v>
      </c>
      <c r="O202" s="21">
        <f>IF(Технологии!AV44="ИЗУЧЕНО",$E202,0)</f>
        <v>0</v>
      </c>
      <c r="P202" s="21">
        <f>IF(Технологии!AW44="ИЗУЧЕНО",$E202,0)</f>
        <v>0</v>
      </c>
      <c r="Q202" s="21">
        <f>IF(Технологии!AX44="ИЗУЧЕНО",$E202,0)</f>
        <v>0</v>
      </c>
      <c r="R202" s="21">
        <f>IF(Технологии!AY44="ИЗУЧЕНО",$E202,0)</f>
        <v>0</v>
      </c>
      <c r="S202" s="21">
        <f>IF(Технологии!AZ44="ИЗУЧЕНО",$E202,0)</f>
        <v>0</v>
      </c>
      <c r="T202" s="21">
        <f>IF(Технологии!BA44="ИЗУЧЕНО",$E202,0)</f>
        <v>0</v>
      </c>
      <c r="U202" s="21">
        <f>IF(Технологии!BB44="ИЗУЧЕНО",$E202,0)</f>
        <v>0</v>
      </c>
      <c r="V202" s="21">
        <f>IF(Технологии!BC44="ИЗУЧЕНО",$E202,0)</f>
        <v>0</v>
      </c>
      <c r="W202" s="21">
        <f>IF(Технологии!BD44="ИЗУЧЕНО",$E202,0)</f>
        <v>0</v>
      </c>
      <c r="X202" s="21">
        <f>IF(Технологии!BE44="ИЗУЧЕНО",$E202,0)</f>
        <v>0</v>
      </c>
      <c r="Y202" s="21">
        <f>IF(Технологии!BF44="ИЗУЧЕНО",$E202,0)</f>
        <v>0</v>
      </c>
    </row>
    <row r="203" spans="1:25">
      <c r="A203" s="19" t="s">
        <v>209</v>
      </c>
      <c r="B203" s="18" t="s">
        <v>210</v>
      </c>
      <c r="C203" s="18" t="s">
        <v>382</v>
      </c>
      <c r="D203" s="18" t="s">
        <v>405</v>
      </c>
      <c r="E203" s="20">
        <v>0.1</v>
      </c>
      <c r="F203" s="18" t="str">
        <f>IF(Технологии!BH44="","",Технологии!BH44)</f>
        <v/>
      </c>
      <c r="G203" s="18" t="s">
        <v>511</v>
      </c>
      <c r="J203" s="21">
        <f>0</f>
        <v>0</v>
      </c>
      <c r="K203" s="21">
        <f>IF(Технологии!AR44="ИЗУЧЕНО",$E203,0)</f>
        <v>0</v>
      </c>
      <c r="L203" s="21">
        <f>IF(Технологии!AS44="ИЗУЧЕНО",$E203,0)</f>
        <v>0</v>
      </c>
      <c r="M203" s="21">
        <f>IF(Технологии!AT44="ИЗУЧЕНО",$E203,0)</f>
        <v>0</v>
      </c>
      <c r="N203" s="21">
        <f>IF(Технологии!AU44="ИЗУЧЕНО",$E203,0)</f>
        <v>0</v>
      </c>
      <c r="O203" s="21">
        <f>IF(Технологии!AV44="ИЗУЧЕНО",$E203,0)</f>
        <v>0</v>
      </c>
      <c r="P203" s="21">
        <f>IF(Технологии!AW44="ИЗУЧЕНО",$E203,0)</f>
        <v>0</v>
      </c>
      <c r="Q203" s="21">
        <f>IF(Технологии!AX44="ИЗУЧЕНО",$E203,0)</f>
        <v>0</v>
      </c>
      <c r="R203" s="21">
        <f>IF(Технологии!AY44="ИЗУЧЕНО",$E203,0)</f>
        <v>0</v>
      </c>
      <c r="S203" s="21">
        <f>IF(Технологии!AZ44="ИЗУЧЕНО",$E203,0)</f>
        <v>0</v>
      </c>
      <c r="T203" s="21">
        <f>IF(Технологии!BA44="ИЗУЧЕНО",$E203,0)</f>
        <v>0</v>
      </c>
      <c r="U203" s="21">
        <f>IF(Технологии!BB44="ИЗУЧЕНО",$E203,0)</f>
        <v>0</v>
      </c>
      <c r="V203" s="21">
        <f>IF(Технологии!BC44="ИЗУЧЕНО",$E203,0)</f>
        <v>0</v>
      </c>
      <c r="W203" s="21">
        <f>IF(Технологии!BD44="ИЗУЧЕНО",$E203,0)</f>
        <v>0</v>
      </c>
      <c r="X203" s="21">
        <f>IF(Технологии!BE44="ИЗУЧЕНО",$E203,0)</f>
        <v>0</v>
      </c>
      <c r="Y203" s="21">
        <f>IF(Технологии!BF44="ИЗУЧЕНО",$E203,0)</f>
        <v>0</v>
      </c>
    </row>
    <row r="204" spans="1:25">
      <c r="A204" s="19" t="s">
        <v>209</v>
      </c>
      <c r="B204" s="18" t="s">
        <v>210</v>
      </c>
      <c r="C204" s="18" t="s">
        <v>260</v>
      </c>
      <c r="D204" s="18" t="s">
        <v>387</v>
      </c>
      <c r="E204" s="20">
        <v>-0.15</v>
      </c>
      <c r="F204" s="18" t="str">
        <f>IF(Технологии!BH44="","",Технологии!BH44)</f>
        <v/>
      </c>
      <c r="G204" s="18" t="s">
        <v>424</v>
      </c>
      <c r="J204" s="21">
        <f>0</f>
        <v>0</v>
      </c>
      <c r="K204" s="21">
        <f>IF(Технологии!AR44="ИЗУЧЕНО",$E204,0)</f>
        <v>0</v>
      </c>
      <c r="L204" s="21">
        <f>IF(Технологии!AS44="ИЗУЧЕНО",$E204,0)</f>
        <v>0</v>
      </c>
      <c r="M204" s="21">
        <f>IF(Технологии!AT44="ИЗУЧЕНО",$E204,0)</f>
        <v>0</v>
      </c>
      <c r="N204" s="21">
        <f>IF(Технологии!AU44="ИЗУЧЕНО",$E204,0)</f>
        <v>0</v>
      </c>
      <c r="O204" s="21">
        <f>IF(Технологии!AV44="ИЗУЧЕНО",$E204,0)</f>
        <v>0</v>
      </c>
      <c r="P204" s="21">
        <f>IF(Технологии!AW44="ИЗУЧЕНО",$E204,0)</f>
        <v>0</v>
      </c>
      <c r="Q204" s="21">
        <f>IF(Технологии!AX44="ИЗУЧЕНО",$E204,0)</f>
        <v>0</v>
      </c>
      <c r="R204" s="21">
        <f>IF(Технологии!AY44="ИЗУЧЕНО",$E204,0)</f>
        <v>0</v>
      </c>
      <c r="S204" s="21">
        <f>IF(Технологии!AZ44="ИЗУЧЕНО",$E204,0)</f>
        <v>0</v>
      </c>
      <c r="T204" s="21">
        <f>IF(Технологии!BA44="ИЗУЧЕНО",$E204,0)</f>
        <v>0</v>
      </c>
      <c r="U204" s="21">
        <f>IF(Технологии!BB44="ИЗУЧЕНО",$E204,0)</f>
        <v>0</v>
      </c>
      <c r="V204" s="21">
        <f>IF(Технологии!BC44="ИЗУЧЕНО",$E204,0)</f>
        <v>0</v>
      </c>
      <c r="W204" s="21">
        <f>IF(Технологии!BD44="ИЗУЧЕНО",$E204,0)</f>
        <v>0</v>
      </c>
      <c r="X204" s="21">
        <f>IF(Технологии!BE44="ИЗУЧЕНО",$E204,0)</f>
        <v>0</v>
      </c>
      <c r="Y204" s="21">
        <f>IF(Технологии!BF44="ИЗУЧЕНО",$E204,0)</f>
        <v>0</v>
      </c>
    </row>
    <row r="205" spans="1:25">
      <c r="A205" s="19" t="s">
        <v>209</v>
      </c>
      <c r="B205" s="18" t="s">
        <v>210</v>
      </c>
      <c r="C205" s="18" t="s">
        <v>272</v>
      </c>
      <c r="D205" s="18" t="s">
        <v>387</v>
      </c>
      <c r="E205" s="20">
        <v>-0.1</v>
      </c>
      <c r="F205" s="18" t="str">
        <f>IF(Технологии!BH44="","",Технологии!BH44)</f>
        <v/>
      </c>
      <c r="G205" s="18" t="s">
        <v>512</v>
      </c>
      <c r="J205" s="21">
        <f>0</f>
        <v>0</v>
      </c>
      <c r="K205" s="21">
        <f>IF(Технологии!AR44="ИЗУЧЕНО",$E205,0)</f>
        <v>0</v>
      </c>
      <c r="L205" s="21">
        <f>IF(Технологии!AS44="ИЗУЧЕНО",$E205,0)</f>
        <v>0</v>
      </c>
      <c r="M205" s="21">
        <f>IF(Технологии!AT44="ИЗУЧЕНО",$E205,0)</f>
        <v>0</v>
      </c>
      <c r="N205" s="21">
        <f>IF(Технологии!AU44="ИЗУЧЕНО",$E205,0)</f>
        <v>0</v>
      </c>
      <c r="O205" s="21">
        <f>IF(Технологии!AV44="ИЗУЧЕНО",$E205,0)</f>
        <v>0</v>
      </c>
      <c r="P205" s="21">
        <f>IF(Технологии!AW44="ИЗУЧЕНО",$E205,0)</f>
        <v>0</v>
      </c>
      <c r="Q205" s="21">
        <f>IF(Технологии!AX44="ИЗУЧЕНО",$E205,0)</f>
        <v>0</v>
      </c>
      <c r="R205" s="21">
        <f>IF(Технологии!AY44="ИЗУЧЕНО",$E205,0)</f>
        <v>0</v>
      </c>
      <c r="S205" s="21">
        <f>IF(Технологии!AZ44="ИЗУЧЕНО",$E205,0)</f>
        <v>0</v>
      </c>
      <c r="T205" s="21">
        <f>IF(Технологии!BA44="ИЗУЧЕНО",$E205,0)</f>
        <v>0</v>
      </c>
      <c r="U205" s="21">
        <f>IF(Технологии!BB44="ИЗУЧЕНО",$E205,0)</f>
        <v>0</v>
      </c>
      <c r="V205" s="21">
        <f>IF(Технологии!BC44="ИЗУЧЕНО",$E205,0)</f>
        <v>0</v>
      </c>
      <c r="W205" s="21">
        <f>IF(Технологии!BD44="ИЗУЧЕНО",$E205,0)</f>
        <v>0</v>
      </c>
      <c r="X205" s="21">
        <f>IF(Технологии!BE44="ИЗУЧЕНО",$E205,0)</f>
        <v>0</v>
      </c>
      <c r="Y205" s="21">
        <f>IF(Технологии!BF44="ИЗУЧЕНО",$E205,0)</f>
        <v>0</v>
      </c>
    </row>
    <row r="206" spans="1:25">
      <c r="A206" s="19" t="s">
        <v>213</v>
      </c>
      <c r="B206" s="18" t="s">
        <v>214</v>
      </c>
      <c r="C206" s="18" t="s">
        <v>314</v>
      </c>
      <c r="D206" s="18" t="s">
        <v>387</v>
      </c>
      <c r="E206" s="20">
        <v>0.4</v>
      </c>
      <c r="F206" s="18" t="str">
        <f>IF(Технологии!BH45="","",Технологии!BH45)</f>
        <v/>
      </c>
      <c r="G206" s="18" t="s">
        <v>513</v>
      </c>
      <c r="J206" s="21">
        <f>0</f>
        <v>0</v>
      </c>
      <c r="K206" s="21">
        <f>IF(Технологии!AR45="ИЗУЧЕНО",$E206,0)</f>
        <v>0</v>
      </c>
      <c r="L206" s="21">
        <f>IF(Технологии!AS45="ИЗУЧЕНО",$E206,0)</f>
        <v>0</v>
      </c>
      <c r="M206" s="21">
        <f>IF(Технологии!AT45="ИЗУЧЕНО",$E206,0)</f>
        <v>0</v>
      </c>
      <c r="N206" s="21">
        <f>IF(Технологии!AU45="ИЗУЧЕНО",$E206,0)</f>
        <v>0</v>
      </c>
      <c r="O206" s="21">
        <f>IF(Технологии!AV45="ИЗУЧЕНО",$E206,0)</f>
        <v>0</v>
      </c>
      <c r="P206" s="21">
        <f>IF(Технологии!AW45="ИЗУЧЕНО",$E206,0)</f>
        <v>0</v>
      </c>
      <c r="Q206" s="21">
        <f>IF(Технологии!AX45="ИЗУЧЕНО",$E206,0)</f>
        <v>0</v>
      </c>
      <c r="R206" s="21">
        <f>IF(Технологии!AY45="ИЗУЧЕНО",$E206,0)</f>
        <v>0</v>
      </c>
      <c r="S206" s="21">
        <f>IF(Технологии!AZ45="ИЗУЧЕНО",$E206,0)</f>
        <v>0</v>
      </c>
      <c r="T206" s="21">
        <f>IF(Технологии!BA45="ИЗУЧЕНО",$E206,0)</f>
        <v>0</v>
      </c>
      <c r="U206" s="21">
        <f>IF(Технологии!BB45="ИЗУЧЕНО",$E206,0)</f>
        <v>0</v>
      </c>
      <c r="V206" s="21">
        <f>IF(Технологии!BC45="ИЗУЧЕНО",$E206,0)</f>
        <v>0</v>
      </c>
      <c r="W206" s="21">
        <f>IF(Технологии!BD45="ИЗУЧЕНО",$E206,0)</f>
        <v>0</v>
      </c>
      <c r="X206" s="21">
        <f>IF(Технологии!BE45="ИЗУЧЕНО",$E206,0)</f>
        <v>0</v>
      </c>
      <c r="Y206" s="21">
        <f>IF(Технологии!BF45="ИЗУЧЕНО",$E206,0)</f>
        <v>0</v>
      </c>
    </row>
    <row r="207" spans="1:25">
      <c r="A207" s="19" t="s">
        <v>213</v>
      </c>
      <c r="B207" s="18" t="s">
        <v>214</v>
      </c>
      <c r="C207" s="18" t="s">
        <v>281</v>
      </c>
      <c r="D207" s="18" t="s">
        <v>414</v>
      </c>
      <c r="E207" s="20">
        <v>0.08</v>
      </c>
      <c r="F207" s="18" t="str">
        <f>IF(Технологии!BH45="","",Технологии!BH45)</f>
        <v/>
      </c>
      <c r="G207" s="18" t="s">
        <v>514</v>
      </c>
      <c r="J207" s="21">
        <f>0</f>
        <v>0</v>
      </c>
      <c r="K207" s="21">
        <f>IF(Технологии!AR45="ИЗУЧЕНО",$E207,0)</f>
        <v>0</v>
      </c>
      <c r="L207" s="21">
        <f>IF(Технологии!AS45="ИЗУЧЕНО",$E207,0)</f>
        <v>0</v>
      </c>
      <c r="M207" s="21">
        <f>IF(Технологии!AT45="ИЗУЧЕНО",$E207,0)</f>
        <v>0</v>
      </c>
      <c r="N207" s="21">
        <f>IF(Технологии!AU45="ИЗУЧЕНО",$E207,0)</f>
        <v>0</v>
      </c>
      <c r="O207" s="21">
        <f>IF(Технологии!AV45="ИЗУЧЕНО",$E207,0)</f>
        <v>0</v>
      </c>
      <c r="P207" s="21">
        <f>IF(Технологии!AW45="ИЗУЧЕНО",$E207,0)</f>
        <v>0</v>
      </c>
      <c r="Q207" s="21">
        <f>IF(Технологии!AX45="ИЗУЧЕНО",$E207,0)</f>
        <v>0</v>
      </c>
      <c r="R207" s="21">
        <f>IF(Технологии!AY45="ИЗУЧЕНО",$E207,0)</f>
        <v>0</v>
      </c>
      <c r="S207" s="21">
        <f>IF(Технологии!AZ45="ИЗУЧЕНО",$E207,0)</f>
        <v>0</v>
      </c>
      <c r="T207" s="21">
        <f>IF(Технологии!BA45="ИЗУЧЕНО",$E207,0)</f>
        <v>0</v>
      </c>
      <c r="U207" s="21">
        <f>IF(Технологии!BB45="ИЗУЧЕНО",$E207,0)</f>
        <v>0</v>
      </c>
      <c r="V207" s="21">
        <f>IF(Технологии!BC45="ИЗУЧЕНО",$E207,0)</f>
        <v>0</v>
      </c>
      <c r="W207" s="21">
        <f>IF(Технологии!BD45="ИЗУЧЕНО",$E207,0)</f>
        <v>0</v>
      </c>
      <c r="X207" s="21">
        <f>IF(Технологии!BE45="ИЗУЧЕНО",$E207,0)</f>
        <v>0</v>
      </c>
      <c r="Y207" s="21">
        <f>IF(Технологии!BF45="ИЗУЧЕНО",$E207,0)</f>
        <v>0</v>
      </c>
    </row>
    <row r="208" spans="1:25">
      <c r="A208" s="19" t="s">
        <v>213</v>
      </c>
      <c r="B208" s="18" t="s">
        <v>214</v>
      </c>
      <c r="C208" s="18" t="s">
        <v>292</v>
      </c>
      <c r="D208" s="18" t="s">
        <v>387</v>
      </c>
      <c r="E208" s="20">
        <v>0.2</v>
      </c>
      <c r="F208" s="18" t="str">
        <f>IF(Технологии!BH45="","",Технологии!BH45)</f>
        <v/>
      </c>
      <c r="G208" s="18" t="s">
        <v>427</v>
      </c>
      <c r="J208" s="21">
        <f>0</f>
        <v>0</v>
      </c>
      <c r="K208" s="21">
        <f>IF(Технологии!AR45="ИЗУЧЕНО",$E208,0)</f>
        <v>0</v>
      </c>
      <c r="L208" s="21">
        <f>IF(Технологии!AS45="ИЗУЧЕНО",$E208,0)</f>
        <v>0</v>
      </c>
      <c r="M208" s="21">
        <f>IF(Технологии!AT45="ИЗУЧЕНО",$E208,0)</f>
        <v>0</v>
      </c>
      <c r="N208" s="21">
        <f>IF(Технологии!AU45="ИЗУЧЕНО",$E208,0)</f>
        <v>0</v>
      </c>
      <c r="O208" s="21">
        <f>IF(Технологии!AV45="ИЗУЧЕНО",$E208,0)</f>
        <v>0</v>
      </c>
      <c r="P208" s="21">
        <f>IF(Технологии!AW45="ИЗУЧЕНО",$E208,0)</f>
        <v>0</v>
      </c>
      <c r="Q208" s="21">
        <f>IF(Технологии!AX45="ИЗУЧЕНО",$E208,0)</f>
        <v>0</v>
      </c>
      <c r="R208" s="21">
        <f>IF(Технологии!AY45="ИЗУЧЕНО",$E208,0)</f>
        <v>0</v>
      </c>
      <c r="S208" s="21">
        <f>IF(Технологии!AZ45="ИЗУЧЕНО",$E208,0)</f>
        <v>0</v>
      </c>
      <c r="T208" s="21">
        <f>IF(Технологии!BA45="ИЗУЧЕНО",$E208,0)</f>
        <v>0</v>
      </c>
      <c r="U208" s="21">
        <f>IF(Технологии!BB45="ИЗУЧЕНО",$E208,0)</f>
        <v>0</v>
      </c>
      <c r="V208" s="21">
        <f>IF(Технологии!BC45="ИЗУЧЕНО",$E208,0)</f>
        <v>0</v>
      </c>
      <c r="W208" s="21">
        <f>IF(Технологии!BD45="ИЗУЧЕНО",$E208,0)</f>
        <v>0</v>
      </c>
      <c r="X208" s="21">
        <f>IF(Технологии!BE45="ИЗУЧЕНО",$E208,0)</f>
        <v>0</v>
      </c>
      <c r="Y208" s="21">
        <f>IF(Технологии!BF45="ИЗУЧЕНО",$E208,0)</f>
        <v>0</v>
      </c>
    </row>
    <row r="209" spans="1:25">
      <c r="A209" s="19" t="s">
        <v>213</v>
      </c>
      <c r="B209" s="18" t="s">
        <v>214</v>
      </c>
      <c r="C209" s="18" t="s">
        <v>381</v>
      </c>
      <c r="D209" s="18" t="s">
        <v>405</v>
      </c>
      <c r="E209" s="20">
        <v>0.1</v>
      </c>
      <c r="F209" s="18" t="str">
        <f>IF(Технологии!BH45="","",Технологии!BH45)</f>
        <v/>
      </c>
      <c r="G209" s="18" t="s">
        <v>488</v>
      </c>
      <c r="J209" s="21">
        <f>0</f>
        <v>0</v>
      </c>
      <c r="K209" s="21">
        <f>IF(Технологии!AR45="ИЗУЧЕНО",$E209,0)</f>
        <v>0</v>
      </c>
      <c r="L209" s="21">
        <f>IF(Технологии!AS45="ИЗУЧЕНО",$E209,0)</f>
        <v>0</v>
      </c>
      <c r="M209" s="21">
        <f>IF(Технологии!AT45="ИЗУЧЕНО",$E209,0)</f>
        <v>0</v>
      </c>
      <c r="N209" s="21">
        <f>IF(Технологии!AU45="ИЗУЧЕНО",$E209,0)</f>
        <v>0</v>
      </c>
      <c r="O209" s="21">
        <f>IF(Технологии!AV45="ИЗУЧЕНО",$E209,0)</f>
        <v>0</v>
      </c>
      <c r="P209" s="21">
        <f>IF(Технологии!AW45="ИЗУЧЕНО",$E209,0)</f>
        <v>0</v>
      </c>
      <c r="Q209" s="21">
        <f>IF(Технологии!AX45="ИЗУЧЕНО",$E209,0)</f>
        <v>0</v>
      </c>
      <c r="R209" s="21">
        <f>IF(Технологии!AY45="ИЗУЧЕНО",$E209,0)</f>
        <v>0</v>
      </c>
      <c r="S209" s="21">
        <f>IF(Технологии!AZ45="ИЗУЧЕНО",$E209,0)</f>
        <v>0</v>
      </c>
      <c r="T209" s="21">
        <f>IF(Технологии!BA45="ИЗУЧЕНО",$E209,0)</f>
        <v>0</v>
      </c>
      <c r="U209" s="21">
        <f>IF(Технологии!BB45="ИЗУЧЕНО",$E209,0)</f>
        <v>0</v>
      </c>
      <c r="V209" s="21">
        <f>IF(Технологии!BC45="ИЗУЧЕНО",$E209,0)</f>
        <v>0</v>
      </c>
      <c r="W209" s="21">
        <f>IF(Технологии!BD45="ИЗУЧЕНО",$E209,0)</f>
        <v>0</v>
      </c>
      <c r="X209" s="21">
        <f>IF(Технологии!BE45="ИЗУЧЕНО",$E209,0)</f>
        <v>0</v>
      </c>
      <c r="Y209" s="21">
        <f>IF(Технологии!BF45="ИЗУЧЕНО",$E209,0)</f>
        <v>0</v>
      </c>
    </row>
    <row r="210" spans="1:25">
      <c r="A210" s="19" t="s">
        <v>213</v>
      </c>
      <c r="B210" s="18" t="s">
        <v>214</v>
      </c>
      <c r="C210" s="18" t="s">
        <v>382</v>
      </c>
      <c r="D210" s="18" t="s">
        <v>405</v>
      </c>
      <c r="E210" s="20">
        <v>0.1</v>
      </c>
      <c r="F210" s="18" t="str">
        <f>IF(Технологии!BH45="","",Технологии!BH45)</f>
        <v/>
      </c>
      <c r="G210" s="18" t="s">
        <v>511</v>
      </c>
      <c r="J210" s="21">
        <f>0</f>
        <v>0</v>
      </c>
      <c r="K210" s="21">
        <f>IF(Технологии!AR45="ИЗУЧЕНО",$E210,0)</f>
        <v>0</v>
      </c>
      <c r="L210" s="21">
        <f>IF(Технологии!AS45="ИЗУЧЕНО",$E210,0)</f>
        <v>0</v>
      </c>
      <c r="M210" s="21">
        <f>IF(Технологии!AT45="ИЗУЧЕНО",$E210,0)</f>
        <v>0</v>
      </c>
      <c r="N210" s="21">
        <f>IF(Технологии!AU45="ИЗУЧЕНО",$E210,0)</f>
        <v>0</v>
      </c>
      <c r="O210" s="21">
        <f>IF(Технологии!AV45="ИЗУЧЕНО",$E210,0)</f>
        <v>0</v>
      </c>
      <c r="P210" s="21">
        <f>IF(Технологии!AW45="ИЗУЧЕНО",$E210,0)</f>
        <v>0</v>
      </c>
      <c r="Q210" s="21">
        <f>IF(Технологии!AX45="ИЗУЧЕНО",$E210,0)</f>
        <v>0</v>
      </c>
      <c r="R210" s="21">
        <f>IF(Технологии!AY45="ИЗУЧЕНО",$E210,0)</f>
        <v>0</v>
      </c>
      <c r="S210" s="21">
        <f>IF(Технологии!AZ45="ИЗУЧЕНО",$E210,0)</f>
        <v>0</v>
      </c>
      <c r="T210" s="21">
        <f>IF(Технологии!BA45="ИЗУЧЕНО",$E210,0)</f>
        <v>0</v>
      </c>
      <c r="U210" s="21">
        <f>IF(Технологии!BB45="ИЗУЧЕНО",$E210,0)</f>
        <v>0</v>
      </c>
      <c r="V210" s="21">
        <f>IF(Технологии!BC45="ИЗУЧЕНО",$E210,0)</f>
        <v>0</v>
      </c>
      <c r="W210" s="21">
        <f>IF(Технологии!BD45="ИЗУЧЕНО",$E210,0)</f>
        <v>0</v>
      </c>
      <c r="X210" s="21">
        <f>IF(Технологии!BE45="ИЗУЧЕНО",$E210,0)</f>
        <v>0</v>
      </c>
      <c r="Y210" s="21">
        <f>IF(Технологии!BF45="ИЗУЧЕНО",$E210,0)</f>
        <v>0</v>
      </c>
    </row>
    <row r="211" spans="1:25">
      <c r="A211" s="19" t="s">
        <v>213</v>
      </c>
      <c r="B211" s="18" t="s">
        <v>214</v>
      </c>
      <c r="C211" s="18" t="s">
        <v>303</v>
      </c>
      <c r="D211" s="18" t="s">
        <v>387</v>
      </c>
      <c r="E211" s="20">
        <v>-0.25</v>
      </c>
      <c r="F211" s="18" t="str">
        <f>IF(Технологии!BH45="","",Технологии!BH45)</f>
        <v/>
      </c>
      <c r="G211" s="18" t="s">
        <v>458</v>
      </c>
      <c r="J211" s="21">
        <f>0</f>
        <v>0</v>
      </c>
      <c r="K211" s="21">
        <f>IF(Технологии!AR45="ИЗУЧЕНО",$E211,0)</f>
        <v>0</v>
      </c>
      <c r="L211" s="21">
        <f>IF(Технологии!AS45="ИЗУЧЕНО",$E211,0)</f>
        <v>0</v>
      </c>
      <c r="M211" s="21">
        <f>IF(Технологии!AT45="ИЗУЧЕНО",$E211,0)</f>
        <v>0</v>
      </c>
      <c r="N211" s="21">
        <f>IF(Технологии!AU45="ИЗУЧЕНО",$E211,0)</f>
        <v>0</v>
      </c>
      <c r="O211" s="21">
        <f>IF(Технологии!AV45="ИЗУЧЕНО",$E211,0)</f>
        <v>0</v>
      </c>
      <c r="P211" s="21">
        <f>IF(Технологии!AW45="ИЗУЧЕНО",$E211,0)</f>
        <v>0</v>
      </c>
      <c r="Q211" s="21">
        <f>IF(Технологии!AX45="ИЗУЧЕНО",$E211,0)</f>
        <v>0</v>
      </c>
      <c r="R211" s="21">
        <f>IF(Технологии!AY45="ИЗУЧЕНО",$E211,0)</f>
        <v>0</v>
      </c>
      <c r="S211" s="21">
        <f>IF(Технологии!AZ45="ИЗУЧЕНО",$E211,0)</f>
        <v>0</v>
      </c>
      <c r="T211" s="21">
        <f>IF(Технологии!BA45="ИЗУЧЕНО",$E211,0)</f>
        <v>0</v>
      </c>
      <c r="U211" s="21">
        <f>IF(Технологии!BB45="ИЗУЧЕНО",$E211,0)</f>
        <v>0</v>
      </c>
      <c r="V211" s="21">
        <f>IF(Технологии!BC45="ИЗУЧЕНО",$E211,0)</f>
        <v>0</v>
      </c>
      <c r="W211" s="21">
        <f>IF(Технологии!BD45="ИЗУЧЕНО",$E211,0)</f>
        <v>0</v>
      </c>
      <c r="X211" s="21">
        <f>IF(Технологии!BE45="ИЗУЧЕНО",$E211,0)</f>
        <v>0</v>
      </c>
      <c r="Y211" s="21">
        <f>IF(Технологии!BF45="ИЗУЧЕНО",$E211,0)</f>
        <v>0</v>
      </c>
    </row>
    <row r="212" spans="1:25">
      <c r="A212" s="19" t="s">
        <v>213</v>
      </c>
      <c r="B212" s="18" t="s">
        <v>214</v>
      </c>
      <c r="C212" s="18" t="s">
        <v>302</v>
      </c>
      <c r="D212" s="18" t="s">
        <v>387</v>
      </c>
      <c r="E212" s="20">
        <v>-0.15</v>
      </c>
      <c r="F212" s="18" t="str">
        <f>IF(Технологии!BH45="","",Технологии!BH45)</f>
        <v/>
      </c>
      <c r="G212" s="18" t="s">
        <v>485</v>
      </c>
      <c r="J212" s="21">
        <f>0</f>
        <v>0</v>
      </c>
      <c r="K212" s="21">
        <f>IF(Технологии!AR45="ИЗУЧЕНО",$E212,0)</f>
        <v>0</v>
      </c>
      <c r="L212" s="21">
        <f>IF(Технологии!AS45="ИЗУЧЕНО",$E212,0)</f>
        <v>0</v>
      </c>
      <c r="M212" s="21">
        <f>IF(Технологии!AT45="ИЗУЧЕНО",$E212,0)</f>
        <v>0</v>
      </c>
      <c r="N212" s="21">
        <f>IF(Технологии!AU45="ИЗУЧЕНО",$E212,0)</f>
        <v>0</v>
      </c>
      <c r="O212" s="21">
        <f>IF(Технологии!AV45="ИЗУЧЕНО",$E212,0)</f>
        <v>0</v>
      </c>
      <c r="P212" s="21">
        <f>IF(Технологии!AW45="ИЗУЧЕНО",$E212,0)</f>
        <v>0</v>
      </c>
      <c r="Q212" s="21">
        <f>IF(Технологии!AX45="ИЗУЧЕНО",$E212,0)</f>
        <v>0</v>
      </c>
      <c r="R212" s="21">
        <f>IF(Технологии!AY45="ИЗУЧЕНО",$E212,0)</f>
        <v>0</v>
      </c>
      <c r="S212" s="21">
        <f>IF(Технологии!AZ45="ИЗУЧЕНО",$E212,0)</f>
        <v>0</v>
      </c>
      <c r="T212" s="21">
        <f>IF(Технологии!BA45="ИЗУЧЕНО",$E212,0)</f>
        <v>0</v>
      </c>
      <c r="U212" s="21">
        <f>IF(Технологии!BB45="ИЗУЧЕНО",$E212,0)</f>
        <v>0</v>
      </c>
      <c r="V212" s="21">
        <f>IF(Технологии!BC45="ИЗУЧЕНО",$E212,0)</f>
        <v>0</v>
      </c>
      <c r="W212" s="21">
        <f>IF(Технологии!BD45="ИЗУЧЕНО",$E212,0)</f>
        <v>0</v>
      </c>
      <c r="X212" s="21">
        <f>IF(Технологии!BE45="ИЗУЧЕНО",$E212,0)</f>
        <v>0</v>
      </c>
      <c r="Y212" s="21">
        <f>IF(Технологии!BF45="ИЗУЧЕНО",$E212,0)</f>
        <v>0</v>
      </c>
    </row>
    <row r="213" spans="1:25">
      <c r="A213" s="19" t="s">
        <v>213</v>
      </c>
      <c r="B213" s="18" t="s">
        <v>214</v>
      </c>
      <c r="C213" s="18" t="s">
        <v>260</v>
      </c>
      <c r="D213" s="18" t="s">
        <v>387</v>
      </c>
      <c r="E213" s="20">
        <v>-0.1</v>
      </c>
      <c r="F213" s="18" t="str">
        <f>IF(Технологии!BH45="","",Технологии!BH45)</f>
        <v/>
      </c>
      <c r="G213" s="18" t="s">
        <v>515</v>
      </c>
      <c r="J213" s="21">
        <f>0</f>
        <v>0</v>
      </c>
      <c r="K213" s="21">
        <f>IF(Технологии!AR45="ИЗУЧЕНО",$E213,0)</f>
        <v>0</v>
      </c>
      <c r="L213" s="21">
        <f>IF(Технологии!AS45="ИЗУЧЕНО",$E213,0)</f>
        <v>0</v>
      </c>
      <c r="M213" s="21">
        <f>IF(Технологии!AT45="ИЗУЧЕНО",$E213,0)</f>
        <v>0</v>
      </c>
      <c r="N213" s="21">
        <f>IF(Технологии!AU45="ИЗУЧЕНО",$E213,0)</f>
        <v>0</v>
      </c>
      <c r="O213" s="21">
        <f>IF(Технологии!AV45="ИЗУЧЕНО",$E213,0)</f>
        <v>0</v>
      </c>
      <c r="P213" s="21">
        <f>IF(Технологии!AW45="ИЗУЧЕНО",$E213,0)</f>
        <v>0</v>
      </c>
      <c r="Q213" s="21">
        <f>IF(Технологии!AX45="ИЗУЧЕНО",$E213,0)</f>
        <v>0</v>
      </c>
      <c r="R213" s="21">
        <f>IF(Технологии!AY45="ИЗУЧЕНО",$E213,0)</f>
        <v>0</v>
      </c>
      <c r="S213" s="21">
        <f>IF(Технологии!AZ45="ИЗУЧЕНО",$E213,0)</f>
        <v>0</v>
      </c>
      <c r="T213" s="21">
        <f>IF(Технологии!BA45="ИЗУЧЕНО",$E213,0)</f>
        <v>0</v>
      </c>
      <c r="U213" s="21">
        <f>IF(Технологии!BB45="ИЗУЧЕНО",$E213,0)</f>
        <v>0</v>
      </c>
      <c r="V213" s="21">
        <f>IF(Технологии!BC45="ИЗУЧЕНО",$E213,0)</f>
        <v>0</v>
      </c>
      <c r="W213" s="21">
        <f>IF(Технологии!BD45="ИЗУЧЕНО",$E213,0)</f>
        <v>0</v>
      </c>
      <c r="X213" s="21">
        <f>IF(Технологии!BE45="ИЗУЧЕНО",$E213,0)</f>
        <v>0</v>
      </c>
      <c r="Y213" s="21">
        <f>IF(Технологии!BF45="ИЗУЧЕНО",$E213,0)</f>
        <v>0</v>
      </c>
    </row>
    <row r="214" spans="1:25">
      <c r="A214" s="19" t="s">
        <v>217</v>
      </c>
      <c r="B214" s="18" t="s">
        <v>218</v>
      </c>
      <c r="C214" s="18" t="s">
        <v>314</v>
      </c>
      <c r="D214" s="18" t="s">
        <v>387</v>
      </c>
      <c r="E214" s="20">
        <v>0.5</v>
      </c>
      <c r="F214" s="18" t="str">
        <f>IF(Технологии!BH46="","",Технологии!BH46)</f>
        <v/>
      </c>
      <c r="G214" s="18" t="s">
        <v>516</v>
      </c>
      <c r="J214" s="21">
        <f>0</f>
        <v>0</v>
      </c>
      <c r="K214" s="21">
        <f>IF(Технологии!AR46="ИЗУЧЕНО",$E214,0)</f>
        <v>0</v>
      </c>
      <c r="L214" s="21">
        <f>IF(Технологии!AS46="ИЗУЧЕНО",$E214,0)</f>
        <v>0</v>
      </c>
      <c r="M214" s="21">
        <f>IF(Технологии!AT46="ИЗУЧЕНО",$E214,0)</f>
        <v>0</v>
      </c>
      <c r="N214" s="21">
        <f>IF(Технологии!AU46="ИЗУЧЕНО",$E214,0)</f>
        <v>0</v>
      </c>
      <c r="O214" s="21">
        <f>IF(Технологии!AV46="ИЗУЧЕНО",$E214,0)</f>
        <v>0</v>
      </c>
      <c r="P214" s="21">
        <f>IF(Технологии!AW46="ИЗУЧЕНО",$E214,0)</f>
        <v>0</v>
      </c>
      <c r="Q214" s="21">
        <f>IF(Технологии!AX46="ИЗУЧЕНО",$E214,0)</f>
        <v>0</v>
      </c>
      <c r="R214" s="21">
        <f>IF(Технологии!AY46="ИЗУЧЕНО",$E214,0)</f>
        <v>0</v>
      </c>
      <c r="S214" s="21">
        <f>IF(Технологии!AZ46="ИЗУЧЕНО",$E214,0)</f>
        <v>0</v>
      </c>
      <c r="T214" s="21">
        <f>IF(Технологии!BA46="ИЗУЧЕНО",$E214,0)</f>
        <v>0</v>
      </c>
      <c r="U214" s="21">
        <f>IF(Технологии!BB46="ИЗУЧЕНО",$E214,0)</f>
        <v>0</v>
      </c>
      <c r="V214" s="21">
        <f>IF(Технологии!BC46="ИЗУЧЕНО",$E214,0)</f>
        <v>0</v>
      </c>
      <c r="W214" s="21">
        <f>IF(Технологии!BD46="ИЗУЧЕНО",$E214,0)</f>
        <v>0</v>
      </c>
      <c r="X214" s="21">
        <f>IF(Технологии!BE46="ИЗУЧЕНО",$E214,0)</f>
        <v>0</v>
      </c>
      <c r="Y214" s="21">
        <f>IF(Технологии!BF46="ИЗУЧЕНО",$E214,0)</f>
        <v>0</v>
      </c>
    </row>
    <row r="215" spans="1:25">
      <c r="A215" s="19" t="s">
        <v>217</v>
      </c>
      <c r="B215" s="18" t="s">
        <v>218</v>
      </c>
      <c r="C215" s="18" t="s">
        <v>308</v>
      </c>
      <c r="D215" s="18" t="s">
        <v>387</v>
      </c>
      <c r="E215" s="20">
        <v>0.3</v>
      </c>
      <c r="F215" s="18" t="str">
        <f>IF(Технологии!BH46="","",Технологии!BH46)</f>
        <v/>
      </c>
      <c r="G215" s="18" t="s">
        <v>517</v>
      </c>
      <c r="J215" s="21">
        <f>0</f>
        <v>0</v>
      </c>
      <c r="K215" s="21">
        <f>IF(Технологии!AR46="ИЗУЧЕНО",$E215,0)</f>
        <v>0</v>
      </c>
      <c r="L215" s="21">
        <f>IF(Технологии!AS46="ИЗУЧЕНО",$E215,0)</f>
        <v>0</v>
      </c>
      <c r="M215" s="21">
        <f>IF(Технологии!AT46="ИЗУЧЕНО",$E215,0)</f>
        <v>0</v>
      </c>
      <c r="N215" s="21">
        <f>IF(Технологии!AU46="ИЗУЧЕНО",$E215,0)</f>
        <v>0</v>
      </c>
      <c r="O215" s="21">
        <f>IF(Технологии!AV46="ИЗУЧЕНО",$E215,0)</f>
        <v>0</v>
      </c>
      <c r="P215" s="21">
        <f>IF(Технологии!AW46="ИЗУЧЕНО",$E215,0)</f>
        <v>0</v>
      </c>
      <c r="Q215" s="21">
        <f>IF(Технологии!AX46="ИЗУЧЕНО",$E215,0)</f>
        <v>0</v>
      </c>
      <c r="R215" s="21">
        <f>IF(Технологии!AY46="ИЗУЧЕНО",$E215,0)</f>
        <v>0</v>
      </c>
      <c r="S215" s="21">
        <f>IF(Технологии!AZ46="ИЗУЧЕНО",$E215,0)</f>
        <v>0</v>
      </c>
      <c r="T215" s="21">
        <f>IF(Технологии!BA46="ИЗУЧЕНО",$E215,0)</f>
        <v>0</v>
      </c>
      <c r="U215" s="21">
        <f>IF(Технологии!BB46="ИЗУЧЕНО",$E215,0)</f>
        <v>0</v>
      </c>
      <c r="V215" s="21">
        <f>IF(Технологии!BC46="ИЗУЧЕНО",$E215,0)</f>
        <v>0</v>
      </c>
      <c r="W215" s="21">
        <f>IF(Технологии!BD46="ИЗУЧЕНО",$E215,0)</f>
        <v>0</v>
      </c>
      <c r="X215" s="21">
        <f>IF(Технологии!BE46="ИЗУЧЕНО",$E215,0)</f>
        <v>0</v>
      </c>
      <c r="Y215" s="21">
        <f>IF(Технологии!BF46="ИЗУЧЕНО",$E215,0)</f>
        <v>0</v>
      </c>
    </row>
    <row r="216" spans="1:25">
      <c r="A216" s="19" t="s">
        <v>217</v>
      </c>
      <c r="B216" s="18" t="s">
        <v>218</v>
      </c>
      <c r="C216" s="18" t="s">
        <v>311</v>
      </c>
      <c r="D216" s="18" t="s">
        <v>414</v>
      </c>
      <c r="E216" s="20">
        <v>0.1</v>
      </c>
      <c r="F216" s="18" t="str">
        <f>IF(Технологии!BH46="","",Технологии!BH46)</f>
        <v/>
      </c>
      <c r="G216" s="18" t="s">
        <v>518</v>
      </c>
      <c r="J216" s="21">
        <f>0</f>
        <v>0</v>
      </c>
      <c r="K216" s="21">
        <f>IF(Технологии!AR46="ИЗУЧЕНО",$E216,0)</f>
        <v>0</v>
      </c>
      <c r="L216" s="21">
        <f>IF(Технологии!AS46="ИЗУЧЕНО",$E216,0)</f>
        <v>0</v>
      </c>
      <c r="M216" s="21">
        <f>IF(Технологии!AT46="ИЗУЧЕНО",$E216,0)</f>
        <v>0</v>
      </c>
      <c r="N216" s="21">
        <f>IF(Технологии!AU46="ИЗУЧЕНО",$E216,0)</f>
        <v>0</v>
      </c>
      <c r="O216" s="21">
        <f>IF(Технологии!AV46="ИЗУЧЕНО",$E216,0)</f>
        <v>0</v>
      </c>
      <c r="P216" s="21">
        <f>IF(Технологии!AW46="ИЗУЧЕНО",$E216,0)</f>
        <v>0</v>
      </c>
      <c r="Q216" s="21">
        <f>IF(Технологии!AX46="ИЗУЧЕНО",$E216,0)</f>
        <v>0</v>
      </c>
      <c r="R216" s="21">
        <f>IF(Технологии!AY46="ИЗУЧЕНО",$E216,0)</f>
        <v>0</v>
      </c>
      <c r="S216" s="21">
        <f>IF(Технологии!AZ46="ИЗУЧЕНО",$E216,0)</f>
        <v>0</v>
      </c>
      <c r="T216" s="21">
        <f>IF(Технологии!BA46="ИЗУЧЕНО",$E216,0)</f>
        <v>0</v>
      </c>
      <c r="U216" s="21">
        <f>IF(Технологии!BB46="ИЗУЧЕНО",$E216,0)</f>
        <v>0</v>
      </c>
      <c r="V216" s="21">
        <f>IF(Технологии!BC46="ИЗУЧЕНО",$E216,0)</f>
        <v>0</v>
      </c>
      <c r="W216" s="21">
        <f>IF(Технологии!BD46="ИЗУЧЕНО",$E216,0)</f>
        <v>0</v>
      </c>
      <c r="X216" s="21">
        <f>IF(Технологии!BE46="ИЗУЧЕНО",$E216,0)</f>
        <v>0</v>
      </c>
      <c r="Y216" s="21">
        <f>IF(Технологии!BF46="ИЗУЧЕНО",$E216,0)</f>
        <v>0</v>
      </c>
    </row>
    <row r="217" spans="1:25">
      <c r="A217" s="19" t="s">
        <v>217</v>
      </c>
      <c r="B217" s="18" t="s">
        <v>218</v>
      </c>
      <c r="C217" s="18" t="s">
        <v>380</v>
      </c>
      <c r="D217" s="18" t="s">
        <v>405</v>
      </c>
      <c r="E217" s="20">
        <v>0.1</v>
      </c>
      <c r="F217" s="18" t="str">
        <f>IF(Технологии!BH46="","",Технологии!BH46)</f>
        <v/>
      </c>
      <c r="G217" s="18" t="s">
        <v>519</v>
      </c>
      <c r="J217" s="21">
        <f>0</f>
        <v>0</v>
      </c>
      <c r="K217" s="21">
        <f>IF(Технологии!AR46="ИЗУЧЕНО",$E217,0)</f>
        <v>0</v>
      </c>
      <c r="L217" s="21">
        <f>IF(Технологии!AS46="ИЗУЧЕНО",$E217,0)</f>
        <v>0</v>
      </c>
      <c r="M217" s="21">
        <f>IF(Технологии!AT46="ИЗУЧЕНО",$E217,0)</f>
        <v>0</v>
      </c>
      <c r="N217" s="21">
        <f>IF(Технологии!AU46="ИЗУЧЕНО",$E217,0)</f>
        <v>0</v>
      </c>
      <c r="O217" s="21">
        <f>IF(Технологии!AV46="ИЗУЧЕНО",$E217,0)</f>
        <v>0</v>
      </c>
      <c r="P217" s="21">
        <f>IF(Технологии!AW46="ИЗУЧЕНО",$E217,0)</f>
        <v>0</v>
      </c>
      <c r="Q217" s="21">
        <f>IF(Технологии!AX46="ИЗУЧЕНО",$E217,0)</f>
        <v>0</v>
      </c>
      <c r="R217" s="21">
        <f>IF(Технологии!AY46="ИЗУЧЕНО",$E217,0)</f>
        <v>0</v>
      </c>
      <c r="S217" s="21">
        <f>IF(Технологии!AZ46="ИЗУЧЕНО",$E217,0)</f>
        <v>0</v>
      </c>
      <c r="T217" s="21">
        <f>IF(Технологии!BA46="ИЗУЧЕНО",$E217,0)</f>
        <v>0</v>
      </c>
      <c r="U217" s="21">
        <f>IF(Технологии!BB46="ИЗУЧЕНО",$E217,0)</f>
        <v>0</v>
      </c>
      <c r="V217" s="21">
        <f>IF(Технологии!BC46="ИЗУЧЕНО",$E217,0)</f>
        <v>0</v>
      </c>
      <c r="W217" s="21">
        <f>IF(Технологии!BD46="ИЗУЧЕНО",$E217,0)</f>
        <v>0</v>
      </c>
      <c r="X217" s="21">
        <f>IF(Технологии!BE46="ИЗУЧЕНО",$E217,0)</f>
        <v>0</v>
      </c>
      <c r="Y217" s="21">
        <f>IF(Технологии!BF46="ИЗУЧЕНО",$E217,0)</f>
        <v>0</v>
      </c>
    </row>
    <row r="218" spans="1:25">
      <c r="A218" s="19" t="s">
        <v>217</v>
      </c>
      <c r="B218" s="18" t="s">
        <v>218</v>
      </c>
      <c r="C218" s="18" t="s">
        <v>381</v>
      </c>
      <c r="D218" s="18" t="s">
        <v>405</v>
      </c>
      <c r="E218" s="20">
        <v>0.1</v>
      </c>
      <c r="F218" s="18" t="str">
        <f>IF(Технологии!BH46="","",Технологии!BH46)</f>
        <v/>
      </c>
      <c r="G218" s="18" t="s">
        <v>488</v>
      </c>
      <c r="J218" s="21">
        <f>0</f>
        <v>0</v>
      </c>
      <c r="K218" s="21">
        <f>IF(Технологии!AR46="ИЗУЧЕНО",$E218,0)</f>
        <v>0</v>
      </c>
      <c r="L218" s="21">
        <f>IF(Технологии!AS46="ИЗУЧЕНО",$E218,0)</f>
        <v>0</v>
      </c>
      <c r="M218" s="21">
        <f>IF(Технологии!AT46="ИЗУЧЕНО",$E218,0)</f>
        <v>0</v>
      </c>
      <c r="N218" s="21">
        <f>IF(Технологии!AU46="ИЗУЧЕНО",$E218,0)</f>
        <v>0</v>
      </c>
      <c r="O218" s="21">
        <f>IF(Технологии!AV46="ИЗУЧЕНО",$E218,0)</f>
        <v>0</v>
      </c>
      <c r="P218" s="21">
        <f>IF(Технологии!AW46="ИЗУЧЕНО",$E218,0)</f>
        <v>0</v>
      </c>
      <c r="Q218" s="21">
        <f>IF(Технологии!AX46="ИЗУЧЕНО",$E218,0)</f>
        <v>0</v>
      </c>
      <c r="R218" s="21">
        <f>IF(Технологии!AY46="ИЗУЧЕНО",$E218,0)</f>
        <v>0</v>
      </c>
      <c r="S218" s="21">
        <f>IF(Технологии!AZ46="ИЗУЧЕНО",$E218,0)</f>
        <v>0</v>
      </c>
      <c r="T218" s="21">
        <f>IF(Технологии!BA46="ИЗУЧЕНО",$E218,0)</f>
        <v>0</v>
      </c>
      <c r="U218" s="21">
        <f>IF(Технологии!BB46="ИЗУЧЕНО",$E218,0)</f>
        <v>0</v>
      </c>
      <c r="V218" s="21">
        <f>IF(Технологии!BC46="ИЗУЧЕНО",$E218,0)</f>
        <v>0</v>
      </c>
      <c r="W218" s="21">
        <f>IF(Технологии!BD46="ИЗУЧЕНО",$E218,0)</f>
        <v>0</v>
      </c>
      <c r="X218" s="21">
        <f>IF(Технологии!BE46="ИЗУЧЕНО",$E218,0)</f>
        <v>0</v>
      </c>
      <c r="Y218" s="21">
        <f>IF(Технологии!BF46="ИЗУЧЕНО",$E218,0)</f>
        <v>0</v>
      </c>
    </row>
    <row r="219" spans="1:25">
      <c r="A219" s="19" t="s">
        <v>217</v>
      </c>
      <c r="B219" s="18" t="s">
        <v>218</v>
      </c>
      <c r="C219" s="18" t="s">
        <v>382</v>
      </c>
      <c r="D219" s="18" t="s">
        <v>405</v>
      </c>
      <c r="E219" s="20">
        <v>0.1</v>
      </c>
      <c r="F219" s="18" t="str">
        <f>IF(Технологии!BH46="","",Технологии!BH46)</f>
        <v/>
      </c>
      <c r="G219" s="18" t="s">
        <v>511</v>
      </c>
      <c r="J219" s="21">
        <f>0</f>
        <v>0</v>
      </c>
      <c r="K219" s="21">
        <f>IF(Технологии!AR46="ИЗУЧЕНО",$E219,0)</f>
        <v>0</v>
      </c>
      <c r="L219" s="21">
        <f>IF(Технологии!AS46="ИЗУЧЕНО",$E219,0)</f>
        <v>0</v>
      </c>
      <c r="M219" s="21">
        <f>IF(Технологии!AT46="ИЗУЧЕНО",$E219,0)</f>
        <v>0</v>
      </c>
      <c r="N219" s="21">
        <f>IF(Технологии!AU46="ИЗУЧЕНО",$E219,0)</f>
        <v>0</v>
      </c>
      <c r="O219" s="21">
        <f>IF(Технологии!AV46="ИЗУЧЕНО",$E219,0)</f>
        <v>0</v>
      </c>
      <c r="P219" s="21">
        <f>IF(Технологии!AW46="ИЗУЧЕНО",$E219,0)</f>
        <v>0</v>
      </c>
      <c r="Q219" s="21">
        <f>IF(Технологии!AX46="ИЗУЧЕНО",$E219,0)</f>
        <v>0</v>
      </c>
      <c r="R219" s="21">
        <f>IF(Технологии!AY46="ИЗУЧЕНО",$E219,0)</f>
        <v>0</v>
      </c>
      <c r="S219" s="21">
        <f>IF(Технологии!AZ46="ИЗУЧЕНО",$E219,0)</f>
        <v>0</v>
      </c>
      <c r="T219" s="21">
        <f>IF(Технологии!BA46="ИЗУЧЕНО",$E219,0)</f>
        <v>0</v>
      </c>
      <c r="U219" s="21">
        <f>IF(Технологии!BB46="ИЗУЧЕНО",$E219,0)</f>
        <v>0</v>
      </c>
      <c r="V219" s="21">
        <f>IF(Технологии!BC46="ИЗУЧЕНО",$E219,0)</f>
        <v>0</v>
      </c>
      <c r="W219" s="21">
        <f>IF(Технологии!BD46="ИЗУЧЕНО",$E219,0)</f>
        <v>0</v>
      </c>
      <c r="X219" s="21">
        <f>IF(Технологии!BE46="ИЗУЧЕНО",$E219,0)</f>
        <v>0</v>
      </c>
      <c r="Y219" s="21">
        <f>IF(Технологии!BF46="ИЗУЧЕНО",$E219,0)</f>
        <v>0</v>
      </c>
    </row>
    <row r="220" spans="1:25">
      <c r="A220" s="19" t="s">
        <v>217</v>
      </c>
      <c r="B220" s="18" t="s">
        <v>218</v>
      </c>
      <c r="C220" s="18" t="s">
        <v>303</v>
      </c>
      <c r="D220" s="18" t="s">
        <v>387</v>
      </c>
      <c r="E220" s="20">
        <v>-0.35</v>
      </c>
      <c r="F220" s="18" t="str">
        <f>IF(Технологии!BH46="","",Технологии!BH46)</f>
        <v/>
      </c>
      <c r="G220" s="18" t="s">
        <v>520</v>
      </c>
      <c r="J220" s="21">
        <f>0</f>
        <v>0</v>
      </c>
      <c r="K220" s="21">
        <f>IF(Технологии!AR46="ИЗУЧЕНО",$E220,0)</f>
        <v>0</v>
      </c>
      <c r="L220" s="21">
        <f>IF(Технологии!AS46="ИЗУЧЕНО",$E220,0)</f>
        <v>0</v>
      </c>
      <c r="M220" s="21">
        <f>IF(Технологии!AT46="ИЗУЧЕНО",$E220,0)</f>
        <v>0</v>
      </c>
      <c r="N220" s="21">
        <f>IF(Технологии!AU46="ИЗУЧЕНО",$E220,0)</f>
        <v>0</v>
      </c>
      <c r="O220" s="21">
        <f>IF(Технологии!AV46="ИЗУЧЕНО",$E220,0)</f>
        <v>0</v>
      </c>
      <c r="P220" s="21">
        <f>IF(Технологии!AW46="ИЗУЧЕНО",$E220,0)</f>
        <v>0</v>
      </c>
      <c r="Q220" s="21">
        <f>IF(Технологии!AX46="ИЗУЧЕНО",$E220,0)</f>
        <v>0</v>
      </c>
      <c r="R220" s="21">
        <f>IF(Технологии!AY46="ИЗУЧЕНО",$E220,0)</f>
        <v>0</v>
      </c>
      <c r="S220" s="21">
        <f>IF(Технологии!AZ46="ИЗУЧЕНО",$E220,0)</f>
        <v>0</v>
      </c>
      <c r="T220" s="21">
        <f>IF(Технологии!BA46="ИЗУЧЕНО",$E220,0)</f>
        <v>0</v>
      </c>
      <c r="U220" s="21">
        <f>IF(Технологии!BB46="ИЗУЧЕНО",$E220,0)</f>
        <v>0</v>
      </c>
      <c r="V220" s="21">
        <f>IF(Технологии!BC46="ИЗУЧЕНО",$E220,0)</f>
        <v>0</v>
      </c>
      <c r="W220" s="21">
        <f>IF(Технологии!BD46="ИЗУЧЕНО",$E220,0)</f>
        <v>0</v>
      </c>
      <c r="X220" s="21">
        <f>IF(Технологии!BE46="ИЗУЧЕНО",$E220,0)</f>
        <v>0</v>
      </c>
      <c r="Y220" s="21">
        <f>IF(Технологии!BF46="ИЗУЧЕНО",$E220,0)</f>
        <v>0</v>
      </c>
    </row>
    <row r="221" spans="1:25">
      <c r="A221" s="19" t="s">
        <v>217</v>
      </c>
      <c r="B221" s="18" t="s">
        <v>218</v>
      </c>
      <c r="C221" s="18" t="s">
        <v>260</v>
      </c>
      <c r="D221" s="18" t="s">
        <v>387</v>
      </c>
      <c r="E221" s="20">
        <v>-0.2</v>
      </c>
      <c r="F221" s="18" t="str">
        <f>IF(Технологии!BH46="","",Технологии!BH46)</f>
        <v/>
      </c>
      <c r="G221" s="18" t="s">
        <v>454</v>
      </c>
      <c r="J221" s="21">
        <f>0</f>
        <v>0</v>
      </c>
      <c r="K221" s="21">
        <f>IF(Технологии!AR46="ИЗУЧЕНО",$E221,0)</f>
        <v>0</v>
      </c>
      <c r="L221" s="21">
        <f>IF(Технологии!AS46="ИЗУЧЕНО",$E221,0)</f>
        <v>0</v>
      </c>
      <c r="M221" s="21">
        <f>IF(Технологии!AT46="ИЗУЧЕНО",$E221,0)</f>
        <v>0</v>
      </c>
      <c r="N221" s="21">
        <f>IF(Технологии!AU46="ИЗУЧЕНО",$E221,0)</f>
        <v>0</v>
      </c>
      <c r="O221" s="21">
        <f>IF(Технологии!AV46="ИЗУЧЕНО",$E221,0)</f>
        <v>0</v>
      </c>
      <c r="P221" s="21">
        <f>IF(Технологии!AW46="ИЗУЧЕНО",$E221,0)</f>
        <v>0</v>
      </c>
      <c r="Q221" s="21">
        <f>IF(Технологии!AX46="ИЗУЧЕНО",$E221,0)</f>
        <v>0</v>
      </c>
      <c r="R221" s="21">
        <f>IF(Технологии!AY46="ИЗУЧЕНО",$E221,0)</f>
        <v>0</v>
      </c>
      <c r="S221" s="21">
        <f>IF(Технологии!AZ46="ИЗУЧЕНО",$E221,0)</f>
        <v>0</v>
      </c>
      <c r="T221" s="21">
        <f>IF(Технологии!BA46="ИЗУЧЕНО",$E221,0)</f>
        <v>0</v>
      </c>
      <c r="U221" s="21">
        <f>IF(Технологии!BB46="ИЗУЧЕНО",$E221,0)</f>
        <v>0</v>
      </c>
      <c r="V221" s="21">
        <f>IF(Технологии!BC46="ИЗУЧЕНО",$E221,0)</f>
        <v>0</v>
      </c>
      <c r="W221" s="21">
        <f>IF(Технологии!BD46="ИЗУЧЕНО",$E221,0)</f>
        <v>0</v>
      </c>
      <c r="X221" s="21">
        <f>IF(Технологии!BE46="ИЗУЧЕНО",$E221,0)</f>
        <v>0</v>
      </c>
      <c r="Y221" s="21">
        <f>IF(Технологии!BF46="ИЗУЧЕНО",$E221,0)</f>
        <v>0</v>
      </c>
    </row>
    <row r="222" spans="1:25">
      <c r="A222" s="19" t="s">
        <v>217</v>
      </c>
      <c r="B222" s="18" t="s">
        <v>218</v>
      </c>
      <c r="C222" s="18" t="s">
        <v>272</v>
      </c>
      <c r="D222" s="18" t="s">
        <v>387</v>
      </c>
      <c r="E222" s="20">
        <v>-0.2</v>
      </c>
      <c r="F222" s="18" t="str">
        <f>IF(Технологии!BH46="","",Технологии!BH46)</f>
        <v/>
      </c>
      <c r="G222" s="18" t="s">
        <v>521</v>
      </c>
      <c r="J222" s="21">
        <f>0</f>
        <v>0</v>
      </c>
      <c r="K222" s="21">
        <f>IF(Технологии!AR46="ИЗУЧЕНО",$E222,0)</f>
        <v>0</v>
      </c>
      <c r="L222" s="21">
        <f>IF(Технологии!AS46="ИЗУЧЕНО",$E222,0)</f>
        <v>0</v>
      </c>
      <c r="M222" s="21">
        <f>IF(Технологии!AT46="ИЗУЧЕНО",$E222,0)</f>
        <v>0</v>
      </c>
      <c r="N222" s="21">
        <f>IF(Технологии!AU46="ИЗУЧЕНО",$E222,0)</f>
        <v>0</v>
      </c>
      <c r="O222" s="21">
        <f>IF(Технологии!AV46="ИЗУЧЕНО",$E222,0)</f>
        <v>0</v>
      </c>
      <c r="P222" s="21">
        <f>IF(Технологии!AW46="ИЗУЧЕНО",$E222,0)</f>
        <v>0</v>
      </c>
      <c r="Q222" s="21">
        <f>IF(Технологии!AX46="ИЗУЧЕНО",$E222,0)</f>
        <v>0</v>
      </c>
      <c r="R222" s="21">
        <f>IF(Технологии!AY46="ИЗУЧЕНО",$E222,0)</f>
        <v>0</v>
      </c>
      <c r="S222" s="21">
        <f>IF(Технологии!AZ46="ИЗУЧЕНО",$E222,0)</f>
        <v>0</v>
      </c>
      <c r="T222" s="21">
        <f>IF(Технологии!BA46="ИЗУЧЕНО",$E222,0)</f>
        <v>0</v>
      </c>
      <c r="U222" s="21">
        <f>IF(Технологии!BB46="ИЗУЧЕНО",$E222,0)</f>
        <v>0</v>
      </c>
      <c r="V222" s="21">
        <f>IF(Технологии!BC46="ИЗУЧЕНО",$E222,0)</f>
        <v>0</v>
      </c>
      <c r="W222" s="21">
        <f>IF(Технологии!BD46="ИЗУЧЕНО",$E222,0)</f>
        <v>0</v>
      </c>
      <c r="X222" s="21">
        <f>IF(Технологии!BE46="ИЗУЧЕНО",$E222,0)</f>
        <v>0</v>
      </c>
      <c r="Y222" s="21">
        <f>IF(Технологии!BF46="ИЗУЧЕНО",$E222,0)</f>
        <v>0</v>
      </c>
    </row>
    <row r="223" spans="1:25">
      <c r="A223" s="19" t="s">
        <v>217</v>
      </c>
      <c r="B223" s="18" t="s">
        <v>218</v>
      </c>
      <c r="C223" s="18" t="s">
        <v>302</v>
      </c>
      <c r="D223" s="18" t="s">
        <v>387</v>
      </c>
      <c r="E223" s="20">
        <v>-0.15</v>
      </c>
      <c r="F223" s="18" t="str">
        <f>IF(Технологии!BH46="","",Технологии!BH46)</f>
        <v/>
      </c>
      <c r="G223" s="18" t="s">
        <v>485</v>
      </c>
      <c r="J223" s="21">
        <f>0</f>
        <v>0</v>
      </c>
      <c r="K223" s="21">
        <f>IF(Технологии!AR46="ИЗУЧЕНО",$E223,0)</f>
        <v>0</v>
      </c>
      <c r="L223" s="21">
        <f>IF(Технологии!AS46="ИЗУЧЕНО",$E223,0)</f>
        <v>0</v>
      </c>
      <c r="M223" s="21">
        <f>IF(Технологии!AT46="ИЗУЧЕНО",$E223,0)</f>
        <v>0</v>
      </c>
      <c r="N223" s="21">
        <f>IF(Технологии!AU46="ИЗУЧЕНО",$E223,0)</f>
        <v>0</v>
      </c>
      <c r="O223" s="21">
        <f>IF(Технологии!AV46="ИЗУЧЕНО",$E223,0)</f>
        <v>0</v>
      </c>
      <c r="P223" s="21">
        <f>IF(Технологии!AW46="ИЗУЧЕНО",$E223,0)</f>
        <v>0</v>
      </c>
      <c r="Q223" s="21">
        <f>IF(Технологии!AX46="ИЗУЧЕНО",$E223,0)</f>
        <v>0</v>
      </c>
      <c r="R223" s="21">
        <f>IF(Технологии!AY46="ИЗУЧЕНО",$E223,0)</f>
        <v>0</v>
      </c>
      <c r="S223" s="21">
        <f>IF(Технологии!AZ46="ИЗУЧЕНО",$E223,0)</f>
        <v>0</v>
      </c>
      <c r="T223" s="21">
        <f>IF(Технологии!BA46="ИЗУЧЕНО",$E223,0)</f>
        <v>0</v>
      </c>
      <c r="U223" s="21">
        <f>IF(Технологии!BB46="ИЗУЧЕНО",$E223,0)</f>
        <v>0</v>
      </c>
      <c r="V223" s="21">
        <f>IF(Технологии!BC46="ИЗУЧЕНО",$E223,0)</f>
        <v>0</v>
      </c>
      <c r="W223" s="21">
        <f>IF(Технологии!BD46="ИЗУЧЕНО",$E223,0)</f>
        <v>0</v>
      </c>
      <c r="X223" s="21">
        <f>IF(Технологии!BE46="ИЗУЧЕНО",$E223,0)</f>
        <v>0</v>
      </c>
      <c r="Y223" s="21">
        <f>IF(Технологии!BF46="ИЗУЧЕНО",$E223,0)</f>
        <v>0</v>
      </c>
    </row>
    <row r="224" spans="1:25">
      <c r="A224" s="19" t="s">
        <v>221</v>
      </c>
      <c r="B224" s="18" t="s">
        <v>223</v>
      </c>
      <c r="C224" s="18" t="s">
        <v>371</v>
      </c>
      <c r="D224" s="18" t="s">
        <v>405</v>
      </c>
      <c r="E224" s="20">
        <v>0.15</v>
      </c>
      <c r="F224" s="18" t="str">
        <f>IF(Технологии!BH47="","",Технологии!BH47)</f>
        <v/>
      </c>
      <c r="G224" s="18" t="s">
        <v>522</v>
      </c>
      <c r="J224" s="21">
        <f>0</f>
        <v>0</v>
      </c>
      <c r="K224" s="21">
        <f>IF(Технологии!AR47="ИЗУЧЕНО",$E224,0)</f>
        <v>0</v>
      </c>
      <c r="L224" s="21">
        <f>IF(Технологии!AS47="ИЗУЧЕНО",$E224,0)</f>
        <v>0</v>
      </c>
      <c r="M224" s="21">
        <f>IF(Технологии!AT47="ИЗУЧЕНО",$E224,0)</f>
        <v>0</v>
      </c>
      <c r="N224" s="21">
        <f>IF(Технологии!AU47="ИЗУЧЕНО",$E224,0)</f>
        <v>0</v>
      </c>
      <c r="O224" s="21">
        <f>IF(Технологии!AV47="ИЗУЧЕНО",$E224,0)</f>
        <v>0</v>
      </c>
      <c r="P224" s="21">
        <f>IF(Технологии!AW47="ИЗУЧЕНО",$E224,0)</f>
        <v>0</v>
      </c>
      <c r="Q224" s="21">
        <f>IF(Технологии!AX47="ИЗУЧЕНО",$E224,0)</f>
        <v>0</v>
      </c>
      <c r="R224" s="21">
        <f>IF(Технологии!AY47="ИЗУЧЕНО",$E224,0)</f>
        <v>0</v>
      </c>
      <c r="S224" s="21">
        <f>IF(Технологии!AZ47="ИЗУЧЕНО",$E224,0)</f>
        <v>0</v>
      </c>
      <c r="T224" s="21">
        <f>IF(Технологии!BA47="ИЗУЧЕНО",$E224,0)</f>
        <v>0</v>
      </c>
      <c r="U224" s="21">
        <f>IF(Технологии!BB47="ИЗУЧЕНО",$E224,0)</f>
        <v>0</v>
      </c>
      <c r="V224" s="21">
        <f>IF(Технологии!BC47="ИЗУЧЕНО",$E224,0)</f>
        <v>0</v>
      </c>
      <c r="W224" s="21">
        <f>IF(Технологии!BD47="ИЗУЧЕНО",$E224,0)</f>
        <v>0</v>
      </c>
      <c r="X224" s="21">
        <f>IF(Технологии!BE47="ИЗУЧЕНО",$E224,0)</f>
        <v>0</v>
      </c>
      <c r="Y224" s="21">
        <f>IF(Технологии!BF47="ИЗУЧЕНО",$E224,0)</f>
        <v>0</v>
      </c>
    </row>
    <row r="225" spans="1:25">
      <c r="A225" s="19" t="s">
        <v>226</v>
      </c>
      <c r="B225" s="18" t="s">
        <v>227</v>
      </c>
      <c r="C225" s="18" t="s">
        <v>281</v>
      </c>
      <c r="D225" s="18" t="s">
        <v>414</v>
      </c>
      <c r="E225" s="20">
        <v>0.1</v>
      </c>
      <c r="F225" s="18" t="str">
        <f>IF(Технологии!BH48="","",Технологии!BH48)</f>
        <v/>
      </c>
      <c r="G225" s="18" t="s">
        <v>523</v>
      </c>
      <c r="J225" s="21">
        <f>0</f>
        <v>0</v>
      </c>
      <c r="K225" s="21">
        <f>IF(Технологии!AR48="ИЗУЧЕНО",$E225,0)</f>
        <v>0</v>
      </c>
      <c r="L225" s="21">
        <f>IF(Технологии!AS48="ИЗУЧЕНО",$E225,0)</f>
        <v>0</v>
      </c>
      <c r="M225" s="21">
        <f>IF(Технологии!AT48="ИЗУЧЕНО",$E225,0)</f>
        <v>0</v>
      </c>
      <c r="N225" s="21">
        <f>IF(Технологии!AU48="ИЗУЧЕНО",$E225,0)</f>
        <v>0</v>
      </c>
      <c r="O225" s="21">
        <f>IF(Технологии!AV48="ИЗУЧЕНО",$E225,0)</f>
        <v>0</v>
      </c>
      <c r="P225" s="21">
        <f>IF(Технологии!AW48="ИЗУЧЕНО",$E225,0)</f>
        <v>0</v>
      </c>
      <c r="Q225" s="21">
        <f>IF(Технологии!AX48="ИЗУЧЕНО",$E225,0)</f>
        <v>0</v>
      </c>
      <c r="R225" s="21">
        <f>IF(Технологии!AY48="ИЗУЧЕНО",$E225,0)</f>
        <v>0</v>
      </c>
      <c r="S225" s="21">
        <f>IF(Технологии!AZ48="ИЗУЧЕНО",$E225,0)</f>
        <v>0</v>
      </c>
      <c r="T225" s="21">
        <f>IF(Технологии!BA48="ИЗУЧЕНО",$E225,0)</f>
        <v>0</v>
      </c>
      <c r="U225" s="21">
        <f>IF(Технологии!BB48="ИЗУЧЕНО",$E225,0)</f>
        <v>0</v>
      </c>
      <c r="V225" s="21">
        <f>IF(Технологии!BC48="ИЗУЧЕНО",$E225,0)</f>
        <v>0</v>
      </c>
      <c r="W225" s="21">
        <f>IF(Технологии!BD48="ИЗУЧЕНО",$E225,0)</f>
        <v>0</v>
      </c>
      <c r="X225" s="21">
        <f>IF(Технологии!BE48="ИЗУЧЕНО",$E225,0)</f>
        <v>0</v>
      </c>
      <c r="Y225" s="21">
        <f>IF(Технологии!BF48="ИЗУЧЕНО",$E225,0)</f>
        <v>0</v>
      </c>
    </row>
    <row r="226" spans="1:25">
      <c r="A226" s="19" t="s">
        <v>226</v>
      </c>
      <c r="B226" s="18" t="s">
        <v>227</v>
      </c>
      <c r="C226" s="18" t="s">
        <v>374</v>
      </c>
      <c r="D226" s="18" t="s">
        <v>405</v>
      </c>
      <c r="E226" s="20">
        <v>0.1</v>
      </c>
      <c r="F226" s="18" t="str">
        <f>IF(Технологии!BH48="","",Технологии!BH48)</f>
        <v/>
      </c>
      <c r="G226" s="18" t="s">
        <v>524</v>
      </c>
      <c r="J226" s="21">
        <f>0</f>
        <v>0</v>
      </c>
      <c r="K226" s="21">
        <f>IF(Технологии!AR48="ИЗУЧЕНО",$E226,0)</f>
        <v>0</v>
      </c>
      <c r="L226" s="21">
        <f>IF(Технологии!AS48="ИЗУЧЕНО",$E226,0)</f>
        <v>0</v>
      </c>
      <c r="M226" s="21">
        <f>IF(Технологии!AT48="ИЗУЧЕНО",$E226,0)</f>
        <v>0</v>
      </c>
      <c r="N226" s="21">
        <f>IF(Технологии!AU48="ИЗУЧЕНО",$E226,0)</f>
        <v>0</v>
      </c>
      <c r="O226" s="21">
        <f>IF(Технологии!AV48="ИЗУЧЕНО",$E226,0)</f>
        <v>0</v>
      </c>
      <c r="P226" s="21">
        <f>IF(Технологии!AW48="ИЗУЧЕНО",$E226,0)</f>
        <v>0</v>
      </c>
      <c r="Q226" s="21">
        <f>IF(Технологии!AX48="ИЗУЧЕНО",$E226,0)</f>
        <v>0</v>
      </c>
      <c r="R226" s="21">
        <f>IF(Технологии!AY48="ИЗУЧЕНО",$E226,0)</f>
        <v>0</v>
      </c>
      <c r="S226" s="21">
        <f>IF(Технологии!AZ48="ИЗУЧЕНО",$E226,0)</f>
        <v>0</v>
      </c>
      <c r="T226" s="21">
        <f>IF(Технологии!BA48="ИЗУЧЕНО",$E226,0)</f>
        <v>0</v>
      </c>
      <c r="U226" s="21">
        <f>IF(Технологии!BB48="ИЗУЧЕНО",$E226,0)</f>
        <v>0</v>
      </c>
      <c r="V226" s="21">
        <f>IF(Технологии!BC48="ИЗУЧЕНО",$E226,0)</f>
        <v>0</v>
      </c>
      <c r="W226" s="21">
        <f>IF(Технологии!BD48="ИЗУЧЕНО",$E226,0)</f>
        <v>0</v>
      </c>
      <c r="X226" s="21">
        <f>IF(Технологии!BE48="ИЗУЧЕНО",$E226,0)</f>
        <v>0</v>
      </c>
      <c r="Y226" s="21">
        <f>IF(Технологии!BF48="ИЗУЧЕНО",$E226,0)</f>
        <v>0</v>
      </c>
    </row>
    <row r="227" spans="1:25">
      <c r="A227" s="19" t="s">
        <v>226</v>
      </c>
      <c r="B227" s="18" t="s">
        <v>227</v>
      </c>
      <c r="C227" s="18" t="s">
        <v>260</v>
      </c>
      <c r="D227" s="18" t="s">
        <v>387</v>
      </c>
      <c r="E227" s="20">
        <v>-0.2</v>
      </c>
      <c r="F227" s="18" t="str">
        <f>IF(Технологии!BH48="","",Технологии!BH48)</f>
        <v/>
      </c>
      <c r="G227" s="18" t="s">
        <v>454</v>
      </c>
      <c r="J227" s="21">
        <f>0</f>
        <v>0</v>
      </c>
      <c r="K227" s="21">
        <f>IF(Технологии!AR48="ИЗУЧЕНО",$E227,0)</f>
        <v>0</v>
      </c>
      <c r="L227" s="21">
        <f>IF(Технологии!AS48="ИЗУЧЕНО",$E227,0)</f>
        <v>0</v>
      </c>
      <c r="M227" s="21">
        <f>IF(Технологии!AT48="ИЗУЧЕНО",$E227,0)</f>
        <v>0</v>
      </c>
      <c r="N227" s="21">
        <f>IF(Технологии!AU48="ИЗУЧЕНО",$E227,0)</f>
        <v>0</v>
      </c>
      <c r="O227" s="21">
        <f>IF(Технологии!AV48="ИЗУЧЕНО",$E227,0)</f>
        <v>0</v>
      </c>
      <c r="P227" s="21">
        <f>IF(Технологии!AW48="ИЗУЧЕНО",$E227,0)</f>
        <v>0</v>
      </c>
      <c r="Q227" s="21">
        <f>IF(Технологии!AX48="ИЗУЧЕНО",$E227,0)</f>
        <v>0</v>
      </c>
      <c r="R227" s="21">
        <f>IF(Технологии!AY48="ИЗУЧЕНО",$E227,0)</f>
        <v>0</v>
      </c>
      <c r="S227" s="21">
        <f>IF(Технологии!AZ48="ИЗУЧЕНО",$E227,0)</f>
        <v>0</v>
      </c>
      <c r="T227" s="21">
        <f>IF(Технологии!BA48="ИЗУЧЕНО",$E227,0)</f>
        <v>0</v>
      </c>
      <c r="U227" s="21">
        <f>IF(Технологии!BB48="ИЗУЧЕНО",$E227,0)</f>
        <v>0</v>
      </c>
      <c r="V227" s="21">
        <f>IF(Технологии!BC48="ИЗУЧЕНО",$E227,0)</f>
        <v>0</v>
      </c>
      <c r="W227" s="21">
        <f>IF(Технологии!BD48="ИЗУЧЕНО",$E227,0)</f>
        <v>0</v>
      </c>
      <c r="X227" s="21">
        <f>IF(Технологии!BE48="ИЗУЧЕНО",$E227,0)</f>
        <v>0</v>
      </c>
      <c r="Y227" s="21">
        <f>IF(Технологии!BF48="ИЗУЧЕНО",$E227,0)</f>
        <v>0</v>
      </c>
    </row>
    <row r="228" spans="1:25">
      <c r="A228" s="19" t="s">
        <v>230</v>
      </c>
      <c r="B228" s="18" t="s">
        <v>231</v>
      </c>
      <c r="C228" s="18" t="s">
        <v>279</v>
      </c>
      <c r="D228" s="18" t="s">
        <v>387</v>
      </c>
      <c r="E228" s="20">
        <v>0.5</v>
      </c>
      <c r="F228" s="18" t="str">
        <f>IF(Технологии!BH49="","",Технологии!BH49)</f>
        <v/>
      </c>
      <c r="G228" s="18" t="s">
        <v>525</v>
      </c>
      <c r="J228" s="21">
        <f>0</f>
        <v>0</v>
      </c>
      <c r="K228" s="21">
        <f>IF(Технологии!AR49="ИЗУЧЕНО",$E228,0)</f>
        <v>0</v>
      </c>
      <c r="L228" s="21">
        <f>IF(Технологии!AS49="ИЗУЧЕНО",$E228,0)</f>
        <v>0</v>
      </c>
      <c r="M228" s="21">
        <f>IF(Технологии!AT49="ИЗУЧЕНО",$E228,0)</f>
        <v>0</v>
      </c>
      <c r="N228" s="21">
        <f>IF(Технологии!AU49="ИЗУЧЕНО",$E228,0)</f>
        <v>0</v>
      </c>
      <c r="O228" s="21">
        <f>IF(Технологии!AV49="ИЗУЧЕНО",$E228,0)</f>
        <v>0</v>
      </c>
      <c r="P228" s="21">
        <f>IF(Технологии!AW49="ИЗУЧЕНО",$E228,0)</f>
        <v>0</v>
      </c>
      <c r="Q228" s="21">
        <f>IF(Технологии!AX49="ИЗУЧЕНО",$E228,0)</f>
        <v>0</v>
      </c>
      <c r="R228" s="21">
        <f>IF(Технологии!AY49="ИЗУЧЕНО",$E228,0)</f>
        <v>0</v>
      </c>
      <c r="S228" s="21">
        <f>IF(Технологии!AZ49="ИЗУЧЕНО",$E228,0)</f>
        <v>0</v>
      </c>
      <c r="T228" s="21">
        <f>IF(Технологии!BA49="ИЗУЧЕНО",$E228,0)</f>
        <v>0</v>
      </c>
      <c r="U228" s="21">
        <f>IF(Технологии!BB49="ИЗУЧЕНО",$E228,0)</f>
        <v>0</v>
      </c>
      <c r="V228" s="21">
        <f>IF(Технологии!BC49="ИЗУЧЕНО",$E228,0)</f>
        <v>0</v>
      </c>
      <c r="W228" s="21">
        <f>IF(Технологии!BD49="ИЗУЧЕНО",$E228,0)</f>
        <v>0</v>
      </c>
      <c r="X228" s="21">
        <f>IF(Технологии!BE49="ИЗУЧЕНО",$E228,0)</f>
        <v>0</v>
      </c>
      <c r="Y228" s="21">
        <f>IF(Технологии!BF49="ИЗУЧЕНО",$E228,0)</f>
        <v>0</v>
      </c>
    </row>
    <row r="229" spans="1:25">
      <c r="A229" s="19" t="s">
        <v>230</v>
      </c>
      <c r="B229" s="18" t="s">
        <v>231</v>
      </c>
      <c r="C229" s="18" t="s">
        <v>279</v>
      </c>
      <c r="D229" s="18" t="s">
        <v>414</v>
      </c>
      <c r="E229" s="20">
        <v>0.12</v>
      </c>
      <c r="F229" s="18" t="str">
        <f>IF(Технологии!BH49="","",Технологии!BH49)</f>
        <v/>
      </c>
      <c r="G229" s="18" t="s">
        <v>525</v>
      </c>
      <c r="J229" s="21">
        <f>0</f>
        <v>0</v>
      </c>
      <c r="K229" s="21">
        <f>IF(Технологии!AR49="ИЗУЧЕНО",$E229,0)</f>
        <v>0</v>
      </c>
      <c r="L229" s="21">
        <f>IF(Технологии!AS49="ИЗУЧЕНО",$E229,0)</f>
        <v>0</v>
      </c>
      <c r="M229" s="21">
        <f>IF(Технологии!AT49="ИЗУЧЕНО",$E229,0)</f>
        <v>0</v>
      </c>
      <c r="N229" s="21">
        <f>IF(Технологии!AU49="ИЗУЧЕНО",$E229,0)</f>
        <v>0</v>
      </c>
      <c r="O229" s="21">
        <f>IF(Технологии!AV49="ИЗУЧЕНО",$E229,0)</f>
        <v>0</v>
      </c>
      <c r="P229" s="21">
        <f>IF(Технологии!AW49="ИЗУЧЕНО",$E229,0)</f>
        <v>0</v>
      </c>
      <c r="Q229" s="21">
        <f>IF(Технологии!AX49="ИЗУЧЕНО",$E229,0)</f>
        <v>0</v>
      </c>
      <c r="R229" s="21">
        <f>IF(Технологии!AY49="ИЗУЧЕНО",$E229,0)</f>
        <v>0</v>
      </c>
      <c r="S229" s="21">
        <f>IF(Технологии!AZ49="ИЗУЧЕНО",$E229,0)</f>
        <v>0</v>
      </c>
      <c r="T229" s="21">
        <f>IF(Технологии!BA49="ИЗУЧЕНО",$E229,0)</f>
        <v>0</v>
      </c>
      <c r="U229" s="21">
        <f>IF(Технологии!BB49="ИЗУЧЕНО",$E229,0)</f>
        <v>0</v>
      </c>
      <c r="V229" s="21">
        <f>IF(Технологии!BC49="ИЗУЧЕНО",$E229,0)</f>
        <v>0</v>
      </c>
      <c r="W229" s="21">
        <f>IF(Технологии!BD49="ИЗУЧЕНО",$E229,0)</f>
        <v>0</v>
      </c>
      <c r="X229" s="21">
        <f>IF(Технологии!BE49="ИЗУЧЕНО",$E229,0)</f>
        <v>0</v>
      </c>
      <c r="Y229" s="21">
        <f>IF(Технологии!BF49="ИЗУЧЕНО",$E229,0)</f>
        <v>0</v>
      </c>
    </row>
    <row r="230" spans="1:25">
      <c r="A230" s="19" t="s">
        <v>230</v>
      </c>
      <c r="B230" s="18" t="s">
        <v>231</v>
      </c>
      <c r="C230" s="18" t="s">
        <v>375</v>
      </c>
      <c r="D230" s="18" t="s">
        <v>405</v>
      </c>
      <c r="E230" s="20">
        <v>0.15</v>
      </c>
      <c r="F230" s="18" t="str">
        <f>IF(Технологии!BH49="","",Технологии!BH49)</f>
        <v/>
      </c>
      <c r="G230" s="18" t="s">
        <v>526</v>
      </c>
      <c r="J230" s="21">
        <f>0</f>
        <v>0</v>
      </c>
      <c r="K230" s="21">
        <f>IF(Технологии!AR49="ИЗУЧЕНО",$E230,0)</f>
        <v>0</v>
      </c>
      <c r="L230" s="21">
        <f>IF(Технологии!AS49="ИЗУЧЕНО",$E230,0)</f>
        <v>0</v>
      </c>
      <c r="M230" s="21">
        <f>IF(Технологии!AT49="ИЗУЧЕНО",$E230,0)</f>
        <v>0</v>
      </c>
      <c r="N230" s="21">
        <f>IF(Технологии!AU49="ИЗУЧЕНО",$E230,0)</f>
        <v>0</v>
      </c>
      <c r="O230" s="21">
        <f>IF(Технологии!AV49="ИЗУЧЕНО",$E230,0)</f>
        <v>0</v>
      </c>
      <c r="P230" s="21">
        <f>IF(Технологии!AW49="ИЗУЧЕНО",$E230,0)</f>
        <v>0</v>
      </c>
      <c r="Q230" s="21">
        <f>IF(Технологии!AX49="ИЗУЧЕНО",$E230,0)</f>
        <v>0</v>
      </c>
      <c r="R230" s="21">
        <f>IF(Технологии!AY49="ИЗУЧЕНО",$E230,0)</f>
        <v>0</v>
      </c>
      <c r="S230" s="21">
        <f>IF(Технологии!AZ49="ИЗУЧЕНО",$E230,0)</f>
        <v>0</v>
      </c>
      <c r="T230" s="21">
        <f>IF(Технологии!BA49="ИЗУЧЕНО",$E230,0)</f>
        <v>0</v>
      </c>
      <c r="U230" s="21">
        <f>IF(Технологии!BB49="ИЗУЧЕНО",$E230,0)</f>
        <v>0</v>
      </c>
      <c r="V230" s="21">
        <f>IF(Технологии!BC49="ИЗУЧЕНО",$E230,0)</f>
        <v>0</v>
      </c>
      <c r="W230" s="21">
        <f>IF(Технологии!BD49="ИЗУЧЕНО",$E230,0)</f>
        <v>0</v>
      </c>
      <c r="X230" s="21">
        <f>IF(Технологии!BE49="ИЗУЧЕНО",$E230,0)</f>
        <v>0</v>
      </c>
      <c r="Y230" s="21">
        <f>IF(Технологии!BF49="ИЗУЧЕНО",$E230,0)</f>
        <v>0</v>
      </c>
    </row>
    <row r="231" spans="1:25">
      <c r="A231" s="19" t="s">
        <v>230</v>
      </c>
      <c r="B231" s="18" t="s">
        <v>231</v>
      </c>
      <c r="C231" s="18" t="s">
        <v>382</v>
      </c>
      <c r="D231" s="18" t="s">
        <v>405</v>
      </c>
      <c r="E231" s="20">
        <v>0.1</v>
      </c>
      <c r="F231" s="18" t="str">
        <f>IF(Технологии!BH49="","",Технологии!BH49)</f>
        <v/>
      </c>
      <c r="G231" s="18" t="s">
        <v>511</v>
      </c>
      <c r="J231" s="21">
        <f>0</f>
        <v>0</v>
      </c>
      <c r="K231" s="21">
        <f>IF(Технологии!AR49="ИЗУЧЕНО",$E231,0)</f>
        <v>0</v>
      </c>
      <c r="L231" s="21">
        <f>IF(Технологии!AS49="ИЗУЧЕНО",$E231,0)</f>
        <v>0</v>
      </c>
      <c r="M231" s="21">
        <f>IF(Технологии!AT49="ИЗУЧЕНО",$E231,0)</f>
        <v>0</v>
      </c>
      <c r="N231" s="21">
        <f>IF(Технологии!AU49="ИЗУЧЕНО",$E231,0)</f>
        <v>0</v>
      </c>
      <c r="O231" s="21">
        <f>IF(Технологии!AV49="ИЗУЧЕНО",$E231,0)</f>
        <v>0</v>
      </c>
      <c r="P231" s="21">
        <f>IF(Технологии!AW49="ИЗУЧЕНО",$E231,0)</f>
        <v>0</v>
      </c>
      <c r="Q231" s="21">
        <f>IF(Технологии!AX49="ИЗУЧЕНО",$E231,0)</f>
        <v>0</v>
      </c>
      <c r="R231" s="21">
        <f>IF(Технологии!AY49="ИЗУЧЕНО",$E231,0)</f>
        <v>0</v>
      </c>
      <c r="S231" s="21">
        <f>IF(Технологии!AZ49="ИЗУЧЕНО",$E231,0)</f>
        <v>0</v>
      </c>
      <c r="T231" s="21">
        <f>IF(Технологии!BA49="ИЗУЧЕНО",$E231,0)</f>
        <v>0</v>
      </c>
      <c r="U231" s="21">
        <f>IF(Технологии!BB49="ИЗУЧЕНО",$E231,0)</f>
        <v>0</v>
      </c>
      <c r="V231" s="21">
        <f>IF(Технологии!BC49="ИЗУЧЕНО",$E231,0)</f>
        <v>0</v>
      </c>
      <c r="W231" s="21">
        <f>IF(Технологии!BD49="ИЗУЧЕНО",$E231,0)</f>
        <v>0</v>
      </c>
      <c r="X231" s="21">
        <f>IF(Технологии!BE49="ИЗУЧЕНО",$E231,0)</f>
        <v>0</v>
      </c>
      <c r="Y231" s="21">
        <f>IF(Технологии!BF49="ИЗУЧЕНО",$E231,0)</f>
        <v>0</v>
      </c>
    </row>
    <row r="232" spans="1:25">
      <c r="A232" s="19" t="s">
        <v>230</v>
      </c>
      <c r="B232" s="18" t="s">
        <v>231</v>
      </c>
      <c r="C232" s="18" t="s">
        <v>294</v>
      </c>
      <c r="D232" s="18" t="s">
        <v>387</v>
      </c>
      <c r="E232" s="20">
        <v>-0.3</v>
      </c>
      <c r="F232" s="18" t="str">
        <f>IF(Технологии!BH49="","",Технологии!BH49)</f>
        <v/>
      </c>
      <c r="G232" s="18" t="s">
        <v>527</v>
      </c>
      <c r="J232" s="21">
        <f>0</f>
        <v>0</v>
      </c>
      <c r="K232" s="21">
        <f>IF(Технологии!AR49="ИЗУЧЕНО",$E232,0)</f>
        <v>0</v>
      </c>
      <c r="L232" s="21">
        <f>IF(Технологии!AS49="ИЗУЧЕНО",$E232,0)</f>
        <v>0</v>
      </c>
      <c r="M232" s="21">
        <f>IF(Технологии!AT49="ИЗУЧЕНО",$E232,0)</f>
        <v>0</v>
      </c>
      <c r="N232" s="21">
        <f>IF(Технологии!AU49="ИЗУЧЕНО",$E232,0)</f>
        <v>0</v>
      </c>
      <c r="O232" s="21">
        <f>IF(Технологии!AV49="ИЗУЧЕНО",$E232,0)</f>
        <v>0</v>
      </c>
      <c r="P232" s="21">
        <f>IF(Технологии!AW49="ИЗУЧЕНО",$E232,0)</f>
        <v>0</v>
      </c>
      <c r="Q232" s="21">
        <f>IF(Технологии!AX49="ИЗУЧЕНО",$E232,0)</f>
        <v>0</v>
      </c>
      <c r="R232" s="21">
        <f>IF(Технологии!AY49="ИЗУЧЕНО",$E232,0)</f>
        <v>0</v>
      </c>
      <c r="S232" s="21">
        <f>IF(Технологии!AZ49="ИЗУЧЕНО",$E232,0)</f>
        <v>0</v>
      </c>
      <c r="T232" s="21">
        <f>IF(Технологии!BA49="ИЗУЧЕНО",$E232,0)</f>
        <v>0</v>
      </c>
      <c r="U232" s="21">
        <f>IF(Технологии!BB49="ИЗУЧЕНО",$E232,0)</f>
        <v>0</v>
      </c>
      <c r="V232" s="21">
        <f>IF(Технологии!BC49="ИЗУЧЕНО",$E232,0)</f>
        <v>0</v>
      </c>
      <c r="W232" s="21">
        <f>IF(Технологии!BD49="ИЗУЧЕНО",$E232,0)</f>
        <v>0</v>
      </c>
      <c r="X232" s="21">
        <f>IF(Технологии!BE49="ИЗУЧЕНО",$E232,0)</f>
        <v>0</v>
      </c>
      <c r="Y232" s="21">
        <f>IF(Технологии!BF49="ИЗУЧЕНО",$E232,0)</f>
        <v>0</v>
      </c>
    </row>
    <row r="233" spans="1:25">
      <c r="A233" s="19" t="s">
        <v>230</v>
      </c>
      <c r="B233" s="18" t="s">
        <v>231</v>
      </c>
      <c r="C233" s="18" t="s">
        <v>311</v>
      </c>
      <c r="D233" s="18" t="s">
        <v>387</v>
      </c>
      <c r="E233" s="20">
        <v>-0.25</v>
      </c>
      <c r="F233" s="18" t="str">
        <f>IF(Технологии!BH49="","",Технологии!BH49)</f>
        <v/>
      </c>
      <c r="G233" s="18" t="s">
        <v>528</v>
      </c>
      <c r="J233" s="21">
        <f>0</f>
        <v>0</v>
      </c>
      <c r="K233" s="21">
        <f>IF(Технологии!AR49="ИЗУЧЕНО",$E233,0)</f>
        <v>0</v>
      </c>
      <c r="L233" s="21">
        <f>IF(Технологии!AS49="ИЗУЧЕНО",$E233,0)</f>
        <v>0</v>
      </c>
      <c r="M233" s="21">
        <f>IF(Технологии!AT49="ИЗУЧЕНО",$E233,0)</f>
        <v>0</v>
      </c>
      <c r="N233" s="21">
        <f>IF(Технологии!AU49="ИЗУЧЕНО",$E233,0)</f>
        <v>0</v>
      </c>
      <c r="O233" s="21">
        <f>IF(Технологии!AV49="ИЗУЧЕНО",$E233,0)</f>
        <v>0</v>
      </c>
      <c r="P233" s="21">
        <f>IF(Технологии!AW49="ИЗУЧЕНО",$E233,0)</f>
        <v>0</v>
      </c>
      <c r="Q233" s="21">
        <f>IF(Технологии!AX49="ИЗУЧЕНО",$E233,0)</f>
        <v>0</v>
      </c>
      <c r="R233" s="21">
        <f>IF(Технологии!AY49="ИЗУЧЕНО",$E233,0)</f>
        <v>0</v>
      </c>
      <c r="S233" s="21">
        <f>IF(Технологии!AZ49="ИЗУЧЕНО",$E233,0)</f>
        <v>0</v>
      </c>
      <c r="T233" s="21">
        <f>IF(Технологии!BA49="ИЗУЧЕНО",$E233,0)</f>
        <v>0</v>
      </c>
      <c r="U233" s="21">
        <f>IF(Технологии!BB49="ИЗУЧЕНО",$E233,0)</f>
        <v>0</v>
      </c>
      <c r="V233" s="21">
        <f>IF(Технологии!BC49="ИЗУЧЕНО",$E233,0)</f>
        <v>0</v>
      </c>
      <c r="W233" s="21">
        <f>IF(Технологии!BD49="ИЗУЧЕНО",$E233,0)</f>
        <v>0</v>
      </c>
      <c r="X233" s="21">
        <f>IF(Технологии!BE49="ИЗУЧЕНО",$E233,0)</f>
        <v>0</v>
      </c>
      <c r="Y233" s="21">
        <f>IF(Технологии!BF49="ИЗУЧЕНО",$E233,0)</f>
        <v>0</v>
      </c>
    </row>
    <row r="234" spans="1:25">
      <c r="A234" s="19" t="s">
        <v>234</v>
      </c>
      <c r="B234" s="18" t="s">
        <v>236</v>
      </c>
      <c r="C234" s="18" t="s">
        <v>371</v>
      </c>
      <c r="D234" s="18" t="s">
        <v>405</v>
      </c>
      <c r="E234" s="20">
        <v>0.25</v>
      </c>
      <c r="F234" s="18" t="str">
        <f>IF(Технологии!BH50="","",Технологии!BH50)</f>
        <v/>
      </c>
      <c r="G234" s="18" t="s">
        <v>529</v>
      </c>
      <c r="J234" s="21">
        <f>0</f>
        <v>0</v>
      </c>
      <c r="K234" s="21">
        <f>IF(Технологии!AR50="ИЗУЧЕНО",$E234,0)</f>
        <v>0</v>
      </c>
      <c r="L234" s="21">
        <f>IF(Технологии!AS50="ИЗУЧЕНО",$E234,0)</f>
        <v>0</v>
      </c>
      <c r="M234" s="21">
        <f>IF(Технологии!AT50="ИЗУЧЕНО",$E234,0)</f>
        <v>0</v>
      </c>
      <c r="N234" s="21">
        <f>IF(Технологии!AU50="ИЗУЧЕНО",$E234,0)</f>
        <v>0</v>
      </c>
      <c r="O234" s="21">
        <f>IF(Технологии!AV50="ИЗУЧЕНО",$E234,0)</f>
        <v>0</v>
      </c>
      <c r="P234" s="21">
        <f>IF(Технологии!AW50="ИЗУЧЕНО",$E234,0)</f>
        <v>0</v>
      </c>
      <c r="Q234" s="21">
        <f>IF(Технологии!AX50="ИЗУЧЕНО",$E234,0)</f>
        <v>0</v>
      </c>
      <c r="R234" s="21">
        <f>IF(Технологии!AY50="ИЗУЧЕНО",$E234,0)</f>
        <v>0</v>
      </c>
      <c r="S234" s="21">
        <f>IF(Технологии!AZ50="ИЗУЧЕНО",$E234,0)</f>
        <v>0</v>
      </c>
      <c r="T234" s="21">
        <f>IF(Технологии!BA50="ИЗУЧЕНО",$E234,0)</f>
        <v>0</v>
      </c>
      <c r="U234" s="21">
        <f>IF(Технологии!BB50="ИЗУЧЕНО",$E234,0)</f>
        <v>0</v>
      </c>
      <c r="V234" s="21">
        <f>IF(Технологии!BC50="ИЗУЧЕНО",$E234,0)</f>
        <v>0</v>
      </c>
      <c r="W234" s="21">
        <f>IF(Технологии!BD50="ИЗУЧЕНО",$E234,0)</f>
        <v>0</v>
      </c>
      <c r="X234" s="21">
        <f>IF(Технологии!BE50="ИЗУЧЕНО",$E234,0)</f>
        <v>0</v>
      </c>
      <c r="Y234" s="21">
        <f>IF(Технологии!BF50="ИЗУЧЕНО",$E234,0)</f>
        <v>0</v>
      </c>
    </row>
    <row r="235" spans="1:25">
      <c r="A235" s="19" t="s">
        <v>234</v>
      </c>
      <c r="B235" s="18" t="s">
        <v>236</v>
      </c>
      <c r="C235" s="18" t="s">
        <v>286</v>
      </c>
      <c r="D235" s="18" t="s">
        <v>414</v>
      </c>
      <c r="E235" s="20">
        <v>0.1</v>
      </c>
      <c r="F235" s="18" t="str">
        <f>IF(Технологии!BH50="","",Технологии!BH50)</f>
        <v/>
      </c>
      <c r="G235" s="18" t="s">
        <v>530</v>
      </c>
      <c r="J235" s="21">
        <f>0</f>
        <v>0</v>
      </c>
      <c r="K235" s="21">
        <f>IF(Технологии!AR50="ИЗУЧЕНО",$E235,0)</f>
        <v>0</v>
      </c>
      <c r="L235" s="21">
        <f>IF(Технологии!AS50="ИЗУЧЕНО",$E235,0)</f>
        <v>0</v>
      </c>
      <c r="M235" s="21">
        <f>IF(Технологии!AT50="ИЗУЧЕНО",$E235,0)</f>
        <v>0</v>
      </c>
      <c r="N235" s="21">
        <f>IF(Технологии!AU50="ИЗУЧЕНО",$E235,0)</f>
        <v>0</v>
      </c>
      <c r="O235" s="21">
        <f>IF(Технологии!AV50="ИЗУЧЕНО",$E235,0)</f>
        <v>0</v>
      </c>
      <c r="P235" s="21">
        <f>IF(Технологии!AW50="ИЗУЧЕНО",$E235,0)</f>
        <v>0</v>
      </c>
      <c r="Q235" s="21">
        <f>IF(Технологии!AX50="ИЗУЧЕНО",$E235,0)</f>
        <v>0</v>
      </c>
      <c r="R235" s="21">
        <f>IF(Технологии!AY50="ИЗУЧЕНО",$E235,0)</f>
        <v>0</v>
      </c>
      <c r="S235" s="21">
        <f>IF(Технологии!AZ50="ИЗУЧЕНО",$E235,0)</f>
        <v>0</v>
      </c>
      <c r="T235" s="21">
        <f>IF(Технологии!BA50="ИЗУЧЕНО",$E235,0)</f>
        <v>0</v>
      </c>
      <c r="U235" s="21">
        <f>IF(Технологии!BB50="ИЗУЧЕНО",$E235,0)</f>
        <v>0</v>
      </c>
      <c r="V235" s="21">
        <f>IF(Технологии!BC50="ИЗУЧЕНО",$E235,0)</f>
        <v>0</v>
      </c>
      <c r="W235" s="21">
        <f>IF(Технологии!BD50="ИЗУЧЕНО",$E235,0)</f>
        <v>0</v>
      </c>
      <c r="X235" s="21">
        <f>IF(Технологии!BE50="ИЗУЧЕНО",$E235,0)</f>
        <v>0</v>
      </c>
      <c r="Y235" s="21">
        <f>IF(Технологии!BF50="ИЗУЧЕНО",$E235,0)</f>
        <v>0</v>
      </c>
    </row>
    <row r="236" spans="1:25">
      <c r="A236" s="19" t="s">
        <v>234</v>
      </c>
      <c r="B236" s="18" t="s">
        <v>236</v>
      </c>
      <c r="C236" s="18" t="s">
        <v>291</v>
      </c>
      <c r="D236" s="18" t="s">
        <v>414</v>
      </c>
      <c r="E236" s="20">
        <v>0.1</v>
      </c>
      <c r="F236" s="18" t="str">
        <f>IF(Технологии!BH50="","",Технологии!BH50)</f>
        <v/>
      </c>
      <c r="G236" s="18" t="s">
        <v>438</v>
      </c>
      <c r="J236" s="21">
        <f>0</f>
        <v>0</v>
      </c>
      <c r="K236" s="21">
        <f>IF(Технологии!AR50="ИЗУЧЕНО",$E236,0)</f>
        <v>0</v>
      </c>
      <c r="L236" s="21">
        <f>IF(Технологии!AS50="ИЗУЧЕНО",$E236,0)</f>
        <v>0</v>
      </c>
      <c r="M236" s="21">
        <f>IF(Технологии!AT50="ИЗУЧЕНО",$E236,0)</f>
        <v>0</v>
      </c>
      <c r="N236" s="21">
        <f>IF(Технологии!AU50="ИЗУЧЕНО",$E236,0)</f>
        <v>0</v>
      </c>
      <c r="O236" s="21">
        <f>IF(Технологии!AV50="ИЗУЧЕНО",$E236,0)</f>
        <v>0</v>
      </c>
      <c r="P236" s="21">
        <f>IF(Технологии!AW50="ИЗУЧЕНО",$E236,0)</f>
        <v>0</v>
      </c>
      <c r="Q236" s="21">
        <f>IF(Технологии!AX50="ИЗУЧЕНО",$E236,0)</f>
        <v>0</v>
      </c>
      <c r="R236" s="21">
        <f>IF(Технологии!AY50="ИЗУЧЕНО",$E236,0)</f>
        <v>0</v>
      </c>
      <c r="S236" s="21">
        <f>IF(Технологии!AZ50="ИЗУЧЕНО",$E236,0)</f>
        <v>0</v>
      </c>
      <c r="T236" s="21">
        <f>IF(Технологии!BA50="ИЗУЧЕНО",$E236,0)</f>
        <v>0</v>
      </c>
      <c r="U236" s="21">
        <f>IF(Технологии!BB50="ИЗУЧЕНО",$E236,0)</f>
        <v>0</v>
      </c>
      <c r="V236" s="21">
        <f>IF(Технологии!BC50="ИЗУЧЕНО",$E236,0)</f>
        <v>0</v>
      </c>
      <c r="W236" s="21">
        <f>IF(Технологии!BD50="ИЗУЧЕНО",$E236,0)</f>
        <v>0</v>
      </c>
      <c r="X236" s="21">
        <f>IF(Технологии!BE50="ИЗУЧЕНО",$E236,0)</f>
        <v>0</v>
      </c>
      <c r="Y236" s="21">
        <f>IF(Технологии!BF50="ИЗУЧЕНО",$E236,0)</f>
        <v>0</v>
      </c>
    </row>
    <row r="237" spans="1:25">
      <c r="A237" s="19" t="s">
        <v>234</v>
      </c>
      <c r="B237" s="18" t="s">
        <v>236</v>
      </c>
      <c r="C237" s="18" t="s">
        <v>383</v>
      </c>
      <c r="D237" s="18" t="s">
        <v>531</v>
      </c>
      <c r="E237" s="20">
        <v>1</v>
      </c>
      <c r="F237" s="18" t="str">
        <f>IF(Технологии!BH50="","",Технологии!BH50)</f>
        <v/>
      </c>
      <c r="G237" s="18" t="s">
        <v>532</v>
      </c>
      <c r="J237" s="21">
        <f>0</f>
        <v>0</v>
      </c>
      <c r="K237" s="21">
        <f>IF(Технологии!AR50="ИЗУЧЕНО",$E237,0)</f>
        <v>0</v>
      </c>
      <c r="L237" s="21">
        <f>IF(Технологии!AS50="ИЗУЧЕНО",$E237,0)</f>
        <v>0</v>
      </c>
      <c r="M237" s="21">
        <f>IF(Технологии!AT50="ИЗУЧЕНО",$E237,0)</f>
        <v>0</v>
      </c>
      <c r="N237" s="21">
        <f>IF(Технологии!AU50="ИЗУЧЕНО",$E237,0)</f>
        <v>0</v>
      </c>
      <c r="O237" s="21">
        <f>IF(Технологии!AV50="ИЗУЧЕНО",$E237,0)</f>
        <v>0</v>
      </c>
      <c r="P237" s="21">
        <f>IF(Технологии!AW50="ИЗУЧЕНО",$E237,0)</f>
        <v>0</v>
      </c>
      <c r="Q237" s="21">
        <f>IF(Технологии!AX50="ИЗУЧЕНО",$E237,0)</f>
        <v>0</v>
      </c>
      <c r="R237" s="21">
        <f>IF(Технологии!AY50="ИЗУЧЕНО",$E237,0)</f>
        <v>0</v>
      </c>
      <c r="S237" s="21">
        <f>IF(Технологии!AZ50="ИЗУЧЕНО",$E237,0)</f>
        <v>0</v>
      </c>
      <c r="T237" s="21">
        <f>IF(Технологии!BA50="ИЗУЧЕНО",$E237,0)</f>
        <v>0</v>
      </c>
      <c r="U237" s="21">
        <f>IF(Технологии!BB50="ИЗУЧЕНО",$E237,0)</f>
        <v>0</v>
      </c>
      <c r="V237" s="21">
        <f>IF(Технологии!BC50="ИЗУЧЕНО",$E237,0)</f>
        <v>0</v>
      </c>
      <c r="W237" s="21">
        <f>IF(Технологии!BD50="ИЗУЧЕНО",$E237,0)</f>
        <v>0</v>
      </c>
      <c r="X237" s="21">
        <f>IF(Технологии!BE50="ИЗУЧЕНО",$E237,0)</f>
        <v>0</v>
      </c>
      <c r="Y237" s="21">
        <f>IF(Технологии!BF50="ИЗУЧЕНО",$E237,0)</f>
        <v>0</v>
      </c>
    </row>
    <row r="238" spans="1:25">
      <c r="A238" s="19" t="s">
        <v>234</v>
      </c>
      <c r="B238" s="18" t="s">
        <v>236</v>
      </c>
      <c r="C238" s="18" t="s">
        <v>260</v>
      </c>
      <c r="D238" s="18" t="s">
        <v>387</v>
      </c>
      <c r="E238" s="20">
        <v>-0.4</v>
      </c>
      <c r="F238" s="18" t="str">
        <f>IF(Технологии!BH50="","",Технологии!BH50)</f>
        <v/>
      </c>
      <c r="G238" s="18" t="s">
        <v>441</v>
      </c>
      <c r="J238" s="21">
        <f>0</f>
        <v>0</v>
      </c>
      <c r="K238" s="21">
        <f>IF(Технологии!AR50="ИЗУЧЕНО",$E238,0)</f>
        <v>0</v>
      </c>
      <c r="L238" s="21">
        <f>IF(Технологии!AS50="ИЗУЧЕНО",$E238,0)</f>
        <v>0</v>
      </c>
      <c r="M238" s="21">
        <f>IF(Технологии!AT50="ИЗУЧЕНО",$E238,0)</f>
        <v>0</v>
      </c>
      <c r="N238" s="21">
        <f>IF(Технологии!AU50="ИЗУЧЕНО",$E238,0)</f>
        <v>0</v>
      </c>
      <c r="O238" s="21">
        <f>IF(Технологии!AV50="ИЗУЧЕНО",$E238,0)</f>
        <v>0</v>
      </c>
      <c r="P238" s="21">
        <f>IF(Технологии!AW50="ИЗУЧЕНО",$E238,0)</f>
        <v>0</v>
      </c>
      <c r="Q238" s="21">
        <f>IF(Технологии!AX50="ИЗУЧЕНО",$E238,0)</f>
        <v>0</v>
      </c>
      <c r="R238" s="21">
        <f>IF(Технологии!AY50="ИЗУЧЕНО",$E238,0)</f>
        <v>0</v>
      </c>
      <c r="S238" s="21">
        <f>IF(Технологии!AZ50="ИЗУЧЕНО",$E238,0)</f>
        <v>0</v>
      </c>
      <c r="T238" s="21">
        <f>IF(Технологии!BA50="ИЗУЧЕНО",$E238,0)</f>
        <v>0</v>
      </c>
      <c r="U238" s="21">
        <f>IF(Технологии!BB50="ИЗУЧЕНО",$E238,0)</f>
        <v>0</v>
      </c>
      <c r="V238" s="21">
        <f>IF(Технологии!BC50="ИЗУЧЕНО",$E238,0)</f>
        <v>0</v>
      </c>
      <c r="W238" s="21">
        <f>IF(Технологии!BD50="ИЗУЧЕНО",$E238,0)</f>
        <v>0</v>
      </c>
      <c r="X238" s="21">
        <f>IF(Технологии!BE50="ИЗУЧЕНО",$E238,0)</f>
        <v>0</v>
      </c>
      <c r="Y238" s="21">
        <f>IF(Технологии!BF50="ИЗУЧЕНО",$E238,0)</f>
        <v>0</v>
      </c>
    </row>
    <row r="239" spans="1:25">
      <c r="A239" s="19" t="s">
        <v>234</v>
      </c>
      <c r="B239" s="18" t="s">
        <v>236</v>
      </c>
      <c r="C239" s="18" t="s">
        <v>295</v>
      </c>
      <c r="D239" s="18" t="s">
        <v>387</v>
      </c>
      <c r="E239" s="20">
        <v>-0.3</v>
      </c>
      <c r="F239" s="18" t="str">
        <f>IF(Технологии!BH50="","",Технологии!BH50)</f>
        <v/>
      </c>
      <c r="G239" s="18" t="s">
        <v>483</v>
      </c>
      <c r="J239" s="21">
        <f>0</f>
        <v>0</v>
      </c>
      <c r="K239" s="21">
        <f>IF(Технологии!AR50="ИЗУЧЕНО",$E239,0)</f>
        <v>0</v>
      </c>
      <c r="L239" s="21">
        <f>IF(Технологии!AS50="ИЗУЧЕНО",$E239,0)</f>
        <v>0</v>
      </c>
      <c r="M239" s="21">
        <f>IF(Технологии!AT50="ИЗУЧЕНО",$E239,0)</f>
        <v>0</v>
      </c>
      <c r="N239" s="21">
        <f>IF(Технологии!AU50="ИЗУЧЕНО",$E239,0)</f>
        <v>0</v>
      </c>
      <c r="O239" s="21">
        <f>IF(Технологии!AV50="ИЗУЧЕНО",$E239,0)</f>
        <v>0</v>
      </c>
      <c r="P239" s="21">
        <f>IF(Технологии!AW50="ИЗУЧЕНО",$E239,0)</f>
        <v>0</v>
      </c>
      <c r="Q239" s="21">
        <f>IF(Технологии!AX50="ИЗУЧЕНО",$E239,0)</f>
        <v>0</v>
      </c>
      <c r="R239" s="21">
        <f>IF(Технологии!AY50="ИЗУЧЕНО",$E239,0)</f>
        <v>0</v>
      </c>
      <c r="S239" s="21">
        <f>IF(Технологии!AZ50="ИЗУЧЕНО",$E239,0)</f>
        <v>0</v>
      </c>
      <c r="T239" s="21">
        <f>IF(Технологии!BA50="ИЗУЧЕНО",$E239,0)</f>
        <v>0</v>
      </c>
      <c r="U239" s="21">
        <f>IF(Технологии!BB50="ИЗУЧЕНО",$E239,0)</f>
        <v>0</v>
      </c>
      <c r="V239" s="21">
        <f>IF(Технологии!BC50="ИЗУЧЕНО",$E239,0)</f>
        <v>0</v>
      </c>
      <c r="W239" s="21">
        <f>IF(Технологии!BD50="ИЗУЧЕНО",$E239,0)</f>
        <v>0</v>
      </c>
      <c r="X239" s="21">
        <f>IF(Технологии!BE50="ИЗУЧЕНО",$E239,0)</f>
        <v>0</v>
      </c>
      <c r="Y239" s="21">
        <f>IF(Технологии!BF50="ИЗУЧЕНО",$E239,0)</f>
        <v>0</v>
      </c>
    </row>
    <row r="240" spans="1:25">
      <c r="A240" s="19" t="s">
        <v>234</v>
      </c>
      <c r="B240" s="18" t="s">
        <v>236</v>
      </c>
      <c r="C240" s="18" t="s">
        <v>311</v>
      </c>
      <c r="D240" s="18" t="s">
        <v>387</v>
      </c>
      <c r="E240" s="20">
        <v>-0.25</v>
      </c>
      <c r="F240" s="18" t="str">
        <f>IF(Технологии!BH50="","",Технологии!BH50)</f>
        <v/>
      </c>
      <c r="G240" s="18" t="s">
        <v>528</v>
      </c>
      <c r="J240" s="21">
        <f>0</f>
        <v>0</v>
      </c>
      <c r="K240" s="21">
        <f>IF(Технологии!AR50="ИЗУЧЕНО",$E240,0)</f>
        <v>0</v>
      </c>
      <c r="L240" s="21">
        <f>IF(Технологии!AS50="ИЗУЧЕНО",$E240,0)</f>
        <v>0</v>
      </c>
      <c r="M240" s="21">
        <f>IF(Технологии!AT50="ИЗУЧЕНО",$E240,0)</f>
        <v>0</v>
      </c>
      <c r="N240" s="21">
        <f>IF(Технологии!AU50="ИЗУЧЕНО",$E240,0)</f>
        <v>0</v>
      </c>
      <c r="O240" s="21">
        <f>IF(Технологии!AV50="ИЗУЧЕНО",$E240,0)</f>
        <v>0</v>
      </c>
      <c r="P240" s="21">
        <f>IF(Технологии!AW50="ИЗУЧЕНО",$E240,0)</f>
        <v>0</v>
      </c>
      <c r="Q240" s="21">
        <f>IF(Технологии!AX50="ИЗУЧЕНО",$E240,0)</f>
        <v>0</v>
      </c>
      <c r="R240" s="21">
        <f>IF(Технологии!AY50="ИЗУЧЕНО",$E240,0)</f>
        <v>0</v>
      </c>
      <c r="S240" s="21">
        <f>IF(Технологии!AZ50="ИЗУЧЕНО",$E240,0)</f>
        <v>0</v>
      </c>
      <c r="T240" s="21">
        <f>IF(Технологии!BA50="ИЗУЧЕНО",$E240,0)</f>
        <v>0</v>
      </c>
      <c r="U240" s="21">
        <f>IF(Технологии!BB50="ИЗУЧЕНО",$E240,0)</f>
        <v>0</v>
      </c>
      <c r="V240" s="21">
        <f>IF(Технологии!BC50="ИЗУЧЕНО",$E240,0)</f>
        <v>0</v>
      </c>
      <c r="W240" s="21">
        <f>IF(Технологии!BD50="ИЗУЧЕНО",$E240,0)</f>
        <v>0</v>
      </c>
      <c r="X240" s="21">
        <f>IF(Технологии!BE50="ИЗУЧЕНО",$E240,0)</f>
        <v>0</v>
      </c>
      <c r="Y240" s="21">
        <f>IF(Технологии!BF50="ИЗУЧЕНО",$E240,0)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Технологии</vt:lpstr>
      <vt:lpstr>Китай 2026</vt:lpstr>
      <vt:lpstr>Ход 2026</vt:lpstr>
      <vt:lpstr>Китай 2027</vt:lpstr>
      <vt:lpstr>Ход 2027</vt:lpstr>
      <vt:lpstr>Китай 2028</vt:lpstr>
      <vt:lpstr>Ход 2028</vt:lpstr>
      <vt:lpstr>Китай 2029</vt:lpstr>
      <vt:lpstr>Ход 2029</vt:lpstr>
      <vt:lpstr>Китай 2030</vt:lpstr>
      <vt:lpstr>Ход 2030</vt:lpstr>
      <vt:lpstr>Китай 2031</vt:lpstr>
      <vt:lpstr>Ход 2031</vt:lpstr>
      <vt:lpstr>Китай 2032</vt:lpstr>
      <vt:lpstr>Ход 2032</vt:lpstr>
      <vt:lpstr>Китай 2033</vt:lpstr>
      <vt:lpstr>Ход 2033</vt:lpstr>
      <vt:lpstr>Китай 2034</vt:lpstr>
      <vt:lpstr>Ход 2034</vt:lpstr>
      <vt:lpstr>Китай 2035</vt:lpstr>
      <vt:lpstr>Ход 2035</vt:lpstr>
      <vt:lpstr>Китай 2036</vt:lpstr>
      <vt:lpstr>Ход 2036</vt:lpstr>
      <vt:lpstr>Китай 2037</vt:lpstr>
      <vt:lpstr>Ход 2037</vt:lpstr>
      <vt:lpstr>Китай 2038</vt:lpstr>
      <vt:lpstr>Ход 2038</vt:lpstr>
      <vt:lpstr>Китай 2039</vt:lpstr>
      <vt:lpstr>Ход 2039</vt:lpstr>
      <vt:lpstr>Китай 2040</vt:lpstr>
      <vt:lpstr>Ход 2040</vt:lpstr>
      <vt:lpstr>Китай конец 2040</vt:lpstr>
      <vt:lpstr>Эффекты технологий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IT_Cube3</dc:creator>
  <cp:lastModifiedBy>IT_Cube3</cp:lastModifiedBy>
  <dcterms:created xsi:type="dcterms:W3CDTF">2026-10-28T08:33:58Z</dcterms:created>
  <dcterms:modified xsi:type="dcterms:W3CDTF">2026-10-28T08:33:58Z</dcterms:modified>
</cp:coreProperties>
</file>